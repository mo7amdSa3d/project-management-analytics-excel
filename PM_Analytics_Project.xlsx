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charts/colors9.xml" ContentType="application/vnd.ms-office.chartcolorstyle+xml"/>
  <Override PartName="/xl/charts/chart6.xml" ContentType="application/vnd.openxmlformats-officedocument.drawingml.chart+xml"/>
  <Override PartName="/xl/charts/chart2.xml" ContentType="application/vnd.openxmlformats-officedocument.drawingml.chart+xml"/>
  <Override PartName="/xl/charts/chart8.xml" ContentType="application/vnd.openxmlformats-officedocument.drawingml.chart+xml"/>
  <Override PartName="/xl/charts/colors7.xml" ContentType="application/vnd.ms-office.chartcolorstyle+xml"/>
  <Override PartName="/xl/charts/chart5.xml" ContentType="application/vnd.openxmlformats-officedocument.drawingml.chart+xml"/>
  <Override PartName="/xl/charts/colors2.xml" ContentType="application/vnd.ms-office.chartcolorstyle+xml"/>
  <Override PartName="/xl/charts/style10.xml" ContentType="application/vnd.ms-office.chartstyle+xml"/>
  <Override PartName="/xl/charts/chart3.xml" ContentType="application/vnd.openxmlformats-officedocument.drawingml.chart+xml"/>
  <Override PartName="/xl/charts/colors3.xml" ContentType="application/vnd.ms-office.chartcolorstyle+xml"/>
  <Override PartName="/xl/charts/chart4.xml" ContentType="application/vnd.openxmlformats-officedocument.drawingml.chart+xml"/>
  <Override PartName="/xl/charts/colors10.xml" ContentType="application/vnd.ms-office.chartcolorstyle+xml"/>
  <Override PartName="/xl/charts/colors8.xml" ContentType="application/vnd.ms-office.chartcolorstyle+xml"/>
  <Override PartName="/xl/charts/colors1.xml" ContentType="application/vnd.ms-office.chartcolorstyle+xml"/>
  <Override PartName="/xl/charts/style3.xml" ContentType="application/vnd.ms-office.chartstyle+xml"/>
  <Override PartName="/xl/charts/chart7.xml" ContentType="application/vnd.openxmlformats-officedocument.drawingml.chart+xml"/>
  <Override PartName="/xl/charts/colors4.xml" ContentType="application/vnd.ms-office.chartcolorstyle+xml"/>
  <Override PartName="/xl/charts/chart1.xml" ContentType="application/vnd.openxmlformats-officedocument.drawingml.chart+xml"/>
  <Override PartName="/xl/charts/style9.xml" ContentType="application/vnd.ms-office.chartstyle+xml"/>
  <Override PartName="/xl/charts/style1.xml" ContentType="application/vnd.ms-office.chart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5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harts/style7.xml" ContentType="application/vnd.ms-office.chartstyle+xml"/>
  <Override PartName="/xl/charts/style5.xml" ContentType="application/vnd.ms-office.chartstyle+xml"/>
  <Override PartName="/xl/charts/chart10.xml" ContentType="application/vnd.openxmlformats-officedocument.drawingml.chart+xml"/>
  <Override PartName="/xl/charts/style2.xml" ContentType="application/vnd.ms-office.chartstyle+xml"/>
  <Override PartName="/xl/charts/style4.xml" ContentType="application/vnd.ms-office.chartstyle+xml"/>
  <Override PartName="/xl/media/image4.svg" ContentType="image/svg"/>
  <Override PartName="/xl/media/image2.svg" ContentType="image/svg"/>
  <Override PartName="/xl/media/image6.svg" ContentType="image/svg"/>
  <Override PartName="/xl/drawings/drawing1.xml" ContentType="application/vnd.openxmlformats-officedocument.drawing+xml"/>
  <Override PartName="/xl/drawings/drawing2.xml" ContentType="application/vnd.openxmlformats-officedocument.drawing+xml"/>
  <Override PartName="/xl/connections.xml" ContentType="application/vnd.openxmlformats-officedocument.spreadsheetml.connection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9.xml" ContentType="application/vnd.openxmlformats-officedocument.customXmlProperties+xml"/>
  <Override PartName="/customXml/itemProps8.xml" ContentType="application/vnd.openxmlformats-officedocument.customXmlProperties+xml"/>
  <Override PartName="/customXml/itemProps13.xml" ContentType="application/vnd.openxmlformats-officedocument.customXmlProperties+xml"/>
  <Override PartName="/customXml/itemProps7.xml" ContentType="application/vnd.openxmlformats-officedocument.customXmlProperties+xml"/>
  <Override PartName="/customXml/itemProps19.xml" ContentType="application/vnd.openxmlformats-officedocument.customXmlProperties+xml"/>
  <Override PartName="/customXml/itemProps12.xml" ContentType="application/vnd.openxmlformats-officedocument.customXmlProperties+xml"/>
  <Override PartName="/customXml/itemProps6.xml" ContentType="application/vnd.openxmlformats-officedocument.customXmlProperties+xml"/>
  <Override PartName="/customXml/itemProps1.xml" ContentType="application/vnd.openxmlformats-officedocument.customXmlProperties+xml"/>
  <Override PartName="/customXml/itemProps18.xml" ContentType="application/vnd.openxmlformats-officedocument.customXmlProperties+xml"/>
  <Override PartName="/customXml/itemProps4.xml" ContentType="application/vnd.openxmlformats-officedocument.customXmlProperties+xml"/>
  <Override PartName="/customXml/itemProps2.xml" ContentType="application/vnd.openxmlformats-officedocument.customXmlProperties+xml"/>
  <Override PartName="/customXml/itemProps14.xml" ContentType="application/vnd.openxmlformats-officedocument.customXmlProperties+xml"/>
  <Override PartName="/customXml/itemProps10.xml" ContentType="application/vnd.openxmlformats-officedocument.customXmlProperties+xml"/>
  <Override PartName="/customXml/itemProps21.xml" ContentType="application/vnd.openxmlformats-officedocument.customXmlProperties+xml"/>
  <Override PartName="/customXml/itemProps23.xml" ContentType="application/vnd.openxmlformats-officedocument.customXmlProperties+xml"/>
  <Override PartName="/customXml/itemProps16.xml" ContentType="application/vnd.openxmlformats-officedocument.customXmlProperties+xml"/>
  <Override PartName="/customXml/itemProps15.xml" ContentType="application/vnd.openxmlformats-officedocument.customXmlProperties+xml"/>
  <Override PartName="/customXml/itemProps22.xml" ContentType="application/vnd.openxmlformats-officedocument.customXmlProperties+xml"/>
  <Override PartName="/customXml/itemProps20.xml" ContentType="application/vnd.openxmlformats-officedocument.customXmlProperties+xml"/>
  <Override PartName="/customXml/itemProps3.xml" ContentType="application/vnd.openxmlformats-officedocument.customXmlProperties+xml"/>
  <Override PartName="/customXml/itemProps17.xml" ContentType="application/vnd.openxmlformats-officedocument.customXmlProperties+xml"/>
  <Override PartName="/customXml/itemProps11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<Relationship Id="rId9" Type="http://schemas.openxmlformats.org/officeDocument/2006/relationships/customXml" Target="../customXml/item5.xml"/><Relationship Id="rId10" Type="http://schemas.openxmlformats.org/officeDocument/2006/relationships/customXml" Target="../customXml/item6.xml"/><Relationship Id="rId11" Type="http://schemas.openxmlformats.org/officeDocument/2006/relationships/customXml" Target="../customXml/item7.xml"/><Relationship Id="rId12" Type="http://schemas.openxmlformats.org/officeDocument/2006/relationships/customXml" Target="../customXml/item8.xml"/><Relationship Id="rId13" Type="http://schemas.openxmlformats.org/officeDocument/2006/relationships/customXml" Target="../customXml/item9.xml"/><Relationship Id="rId14" Type="http://schemas.openxmlformats.org/officeDocument/2006/relationships/customXml" Target="../customXml/item10.xml"/><Relationship Id="rId15" Type="http://schemas.openxmlformats.org/officeDocument/2006/relationships/customXml" Target="../customXml/item11.xml"/><Relationship Id="rId16" Type="http://schemas.openxmlformats.org/officeDocument/2006/relationships/customXml" Target="../customXml/item12.xml"/><Relationship Id="rId17" Type="http://schemas.openxmlformats.org/officeDocument/2006/relationships/customXml" Target="../customXml/item13.xml"/><Relationship Id="rId18" Type="http://schemas.openxmlformats.org/officeDocument/2006/relationships/customXml" Target="../customXml/item14.xml"/><Relationship Id="rId19" Type="http://schemas.openxmlformats.org/officeDocument/2006/relationships/customXml" Target="../customXml/item15.xml"/><Relationship Id="rId20" Type="http://schemas.openxmlformats.org/officeDocument/2006/relationships/customXml" Target="../customXml/item16.xml"/><Relationship Id="rId21" Type="http://schemas.openxmlformats.org/officeDocument/2006/relationships/customXml" Target="../customXml/item17.xml"/><Relationship Id="rId22" Type="http://schemas.openxmlformats.org/officeDocument/2006/relationships/customXml" Target="../customXml/item18.xml"/><Relationship Id="rId23" Type="http://schemas.openxmlformats.org/officeDocument/2006/relationships/customXml" Target="../customXml/item19.xml"/><Relationship Id="rId24" Type="http://schemas.openxmlformats.org/officeDocument/2006/relationships/customXml" Target="../customXml/item20.xml"/><Relationship Id="rId25" Type="http://schemas.openxmlformats.org/officeDocument/2006/relationships/customXml" Target="../customXml/item21.xml"/><Relationship Id="rId26" Type="http://schemas.openxmlformats.org/officeDocument/2006/relationships/customXml" Target="../customXml/item22.xml"/><Relationship Id="rId27" Type="http://schemas.openxmlformats.org/officeDocument/2006/relationships/customXml" Target="../customXml/item2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" sheetId="1" state="visible" r:id="rId3"/>
    <sheet name="Projects" sheetId="2" state="visible" r:id="rId4"/>
    <sheet name="Tasks_RawData" sheetId="3" state="visible" r:id="rId5"/>
    <sheet name="PQ_Output" sheetId="4" state="visible" r:id="rId6"/>
    <sheet name="PivotTables" sheetId="5" state="visible" r:id="rId7"/>
    <sheet name="Dashboard" sheetId="6" state="visible" r:id="rId8"/>
  </sheets>
  <definedNames>
    <definedName function="false" hidden="false" name="Slicer_Department" vbProcedure="false">#N/A</definedName>
    <definedName function="false" hidden="false" name="Slicer_Priority" vbProcedure="false">#N/A</definedName>
    <definedName function="false" hidden="false" name="Slicer_Status" vbProcedure="false">#N/A</definedName>
    <definedName function="false" hidden="true" name="_xlcn.WorksheetConnection_PM_Analytics_Practice_Project.xlsxtbl_Employees1" vbProcedure="false">tbl_Employees[]</definedName>
    <definedName function="false" hidden="true" name="_xlcn.WorksheetConnection_PM_Analytics_Practice_Project.xlsxtbl_Projects1" vbProcedure="false">tbl_Projects[]</definedName>
    <definedName function="false" hidden="true" name="_xlcn.WorksheetConnection_PM_Analytics_Practice_Project.xlsxtbl_Tasks_Clean1" vbProcedure="false">tbl_Tasks_Clean[]</definedName>
    <definedName function="false" hidden="true" localSheetId="3" name="ExternalData_1" vbProcedure="false">PQ_Output!$A$1:$V$310</definedName>
  </definedNames>
  <calcPr iterateCount="100" refMode="A1" iterate="false" iterateDelta="0.0001"/>
  <pivotCaches>
    <pivotCache cacheId="1" r:id="rId10"/>
  </pivotCaches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7BB7DF-5768-424B-B2BB-CC36AD63A0EC}" keepAlive="1" interval="0" name="Query - Tasks_RawData" description="Connection to the 'Tasks_RawData' query in the workbook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Tasks_RawData;Extended Properties=&quot;&quot;" command="SELECT * FROM [Tasks_RawData]"/>
  </connection>
  <connection id="2" xr16:uid="{4C063D0C-1C4E-4DF3-A102-70B2E42ABA03}" keepAlive="1" interval="0" name="Query - tbl_Employees" description="Connection to the 'tbl_Employees' query in the workbook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tbl_Employees;Extended Properties=&quot;&quot;" command="SELECT * FROM [tbl_Employees]"/>
  </connection>
  <connection id="3" xr16:uid="{02ECAAC1-9F20-43E6-AEC6-E8F443EE68E0}" keepAlive="1" interval="0" name="Query - tbl_Projects" description="Connection to the 'tbl_Projects' query in the workbook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tbl_Projects;Extended Properties=&quot;&quot;" command="SELECT * FROM [tbl_Projects]"/>
  </connection>
  <connection id="4" xr16:uid="{619FBB5A-4820-4CEB-A18E-FBF27EB4BDA9}" keepAlive="1" interval="0" name="ThisWorkbookDataModel" description="Data Model" type="5" reconnectionMethod="1" refreshedVersion="8" minRefreshableVersion="5" savePassword="0" new="0" deleted="0" onlyUseConnectionFile="0" background="0" refreshOnLoad="0" saveData="0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DA05E1DC-FA7E-40F5-994B-19D0AB42F8C5}" keepAlive="0" interval="0" name="WorksheetConnection_PM_Analytics_Practice_Project.xlsx!tbl_Employees" type="102" reconnectionMethod="1" refreshedVersion="8" minRefreshableVersion="5" savePassword="0" new="0" deleted="0" onlyUseConnectionFile="0" background="0" refreshOnLoad="0" saveData="0">
    <extLst>
      <ext xmlns:x15="http://schemas.microsoft.com/office/spreadsheetml/2010/11/main" uri="{DE250136-89BD-433C-8126-D09CA5730AF9}">
        <x15:connection id="tbl_Employees">
          <x15:rangePr sourceName="_xlcn.WorksheetConnection_PM_Analytics_Practice_Project.xlsxtbl_Employees1"/>
        </x15:connection>
      </ext>
    </extLst>
  </connection>
  <connection id="6" xr16:uid="{F3D42E56-F26E-41B4-BE0B-AC383E55999B}" keepAlive="0" interval="0" name="WorksheetConnection_PM_Analytics_Practice_Project.xlsx!tbl_Projects" type="102" reconnectionMethod="1" refreshedVersion="8" minRefreshableVersion="5" savePassword="0" new="0" deleted="0" onlyUseConnectionFile="0" background="0" refreshOnLoad="0" saveData="0">
    <extLst>
      <ext xmlns:x15="http://schemas.microsoft.com/office/spreadsheetml/2010/11/main" uri="{DE250136-89BD-433C-8126-D09CA5730AF9}">
        <x15:connection id="tbl_Projects">
          <x15:rangePr sourceName="_xlcn.WorksheetConnection_PM_Analytics_Practice_Project.xlsxtbl_Projects1"/>
        </x15:connection>
      </ext>
    </extLst>
  </connection>
  <connection id="7" xr16:uid="{6CD58BA8-7A36-4ABD-AE45-3B761C4B9A5B}" keepAlive="0" interval="0" name="WorksheetConnection_PM_Analytics_Practice_Project.xlsx!tbl_Tasks_Clean" type="102" reconnectionMethod="1" refreshedVersion="8" minRefreshableVersion="5" savePassword="0" new="0" deleted="0" onlyUseConnectionFile="0" background="0" refreshOnLoad="0" saveData="0">
    <extLst>
      <ext xmlns:x15="http://schemas.microsoft.com/office/spreadsheetml/2010/11/main" uri="{DE250136-89BD-433C-8126-D09CA5730AF9}">
        <x15:connection id="tbl_Tasks_Clean">
          <x15:rangePr sourceName="_xlcn.WorksheetConnection_PM_Analytics_Practice_Project.xlsxtbl_Tasks_Clean1"/>
        </x15:connection>
      </ext>
    </extLst>
  </connection>
</connections>
</file>

<file path=xl/sharedStrings.xml><?xml version="1.0" encoding="utf-8"?>
<sst xmlns="http://schemas.openxmlformats.org/spreadsheetml/2006/main" count="7502" uniqueCount="1399">
  <si>
    <t xml:space="preserve">Employee_ID</t>
  </si>
  <si>
    <t xml:space="preserve">Employee_Name</t>
  </si>
  <si>
    <t xml:space="preserve">Department</t>
  </si>
  <si>
    <t xml:space="preserve">Role</t>
  </si>
  <si>
    <t xml:space="preserve">Hourly_Rate</t>
  </si>
  <si>
    <t xml:space="preserve">EMP-001</t>
  </si>
  <si>
    <t xml:space="preserve">Hana Zaki</t>
  </si>
  <si>
    <t xml:space="preserve">IT</t>
  </si>
  <si>
    <t xml:space="preserve">Systems Analyst</t>
  </si>
  <si>
    <t xml:space="preserve">EMP-002</t>
  </si>
  <si>
    <t xml:space="preserve">Yasmin Younes</t>
  </si>
  <si>
    <t xml:space="preserve">EMP-003</t>
  </si>
  <si>
    <t xml:space="preserve">Hassan Fouad</t>
  </si>
  <si>
    <t xml:space="preserve">Software Engineer</t>
  </si>
  <si>
    <t xml:space="preserve">EMP-004</t>
  </si>
  <si>
    <t xml:space="preserve">Tarek Abdelrahman</t>
  </si>
  <si>
    <t xml:space="preserve">IT Support Specialist</t>
  </si>
  <si>
    <t xml:space="preserve">EMP-005</t>
  </si>
  <si>
    <t xml:space="preserve">Dina Zaki</t>
  </si>
  <si>
    <t xml:space="preserve">EMP-006</t>
  </si>
  <si>
    <t xml:space="preserve">Farida Younes</t>
  </si>
  <si>
    <t xml:space="preserve">Operations</t>
  </si>
  <si>
    <t xml:space="preserve">Operations Coordinator</t>
  </si>
  <si>
    <t xml:space="preserve">EMP-007</t>
  </si>
  <si>
    <t xml:space="preserve">Reem Gaber</t>
  </si>
  <si>
    <t xml:space="preserve">EMP-008</t>
  </si>
  <si>
    <t xml:space="preserve">Sherif Hosny</t>
  </si>
  <si>
    <t xml:space="preserve">Logistics Planner</t>
  </si>
  <si>
    <t xml:space="preserve">EMP-009</t>
  </si>
  <si>
    <t xml:space="preserve">Farida Zaki</t>
  </si>
  <si>
    <t xml:space="preserve">EMP-010</t>
  </si>
  <si>
    <t xml:space="preserve">Yasmin Zaki</t>
  </si>
  <si>
    <t xml:space="preserve">EMP-011</t>
  </si>
  <si>
    <t xml:space="preserve">Khaled Naguib</t>
  </si>
  <si>
    <t xml:space="preserve">Finance</t>
  </si>
  <si>
    <t xml:space="preserve">Budget Controller</t>
  </si>
  <si>
    <t xml:space="preserve">EMP-012</t>
  </si>
  <si>
    <t xml:space="preserve">Khaled Younes</t>
  </si>
  <si>
    <t xml:space="preserve">Accountant</t>
  </si>
  <si>
    <t xml:space="preserve">EMP-013</t>
  </si>
  <si>
    <t xml:space="preserve">Ziad Abdelrahman</t>
  </si>
  <si>
    <t xml:space="preserve">Financial Analyst</t>
  </si>
  <si>
    <t xml:space="preserve">EMP-014</t>
  </si>
  <si>
    <t xml:space="preserve">Rania Gaber</t>
  </si>
  <si>
    <t xml:space="preserve">Marketing</t>
  </si>
  <si>
    <t xml:space="preserve">Brand Manager</t>
  </si>
  <si>
    <t xml:space="preserve">EMP-015</t>
  </si>
  <si>
    <t xml:space="preserve">Noor Naguib</t>
  </si>
  <si>
    <t xml:space="preserve">Content Strategist</t>
  </si>
  <si>
    <t xml:space="preserve">EMP-016</t>
  </si>
  <si>
    <t xml:space="preserve">Dina Fouad</t>
  </si>
  <si>
    <t xml:space="preserve">Marketing Specialist</t>
  </si>
  <si>
    <t xml:space="preserve">EMP-017</t>
  </si>
  <si>
    <t xml:space="preserve">Yasmin El-Sayed</t>
  </si>
  <si>
    <t xml:space="preserve">HR</t>
  </si>
  <si>
    <t xml:space="preserve">HR Generalist</t>
  </si>
  <si>
    <t xml:space="preserve">EMP-018</t>
  </si>
  <si>
    <t xml:space="preserve">Farida Hosny</t>
  </si>
  <si>
    <t xml:space="preserve">Training Coordinator</t>
  </si>
  <si>
    <t xml:space="preserve">EMP-019</t>
  </si>
  <si>
    <t xml:space="preserve">Fady Hosny</t>
  </si>
  <si>
    <t xml:space="preserve">EMP-020</t>
  </si>
  <si>
    <t xml:space="preserve">Tarek Shawky</t>
  </si>
  <si>
    <t xml:space="preserve">Procurement</t>
  </si>
  <si>
    <t xml:space="preserve">Procurement Officer</t>
  </si>
  <si>
    <t xml:space="preserve">EMP-021</t>
  </si>
  <si>
    <t xml:space="preserve">Farida Shawky</t>
  </si>
  <si>
    <t xml:space="preserve">Vendor Manager</t>
  </si>
  <si>
    <t xml:space="preserve">EMP-022</t>
  </si>
  <si>
    <t xml:space="preserve">Mariam Kamal</t>
  </si>
  <si>
    <t xml:space="preserve">EMP-023</t>
  </si>
  <si>
    <t xml:space="preserve">Sherif Ibrahim</t>
  </si>
  <si>
    <t xml:space="preserve">EMP-024</t>
  </si>
  <si>
    <t xml:space="preserve">Mostafa El-Sayed</t>
  </si>
  <si>
    <t xml:space="preserve">EMP-025</t>
  </si>
  <si>
    <t xml:space="preserve">Dina Mahmoud</t>
  </si>
  <si>
    <t xml:space="preserve">Quality Assurance</t>
  </si>
  <si>
    <t xml:space="preserve">QA Engineer</t>
  </si>
  <si>
    <t xml:space="preserve">EMP-026</t>
  </si>
  <si>
    <t xml:space="preserve">Aya Ibrahim</t>
  </si>
  <si>
    <t xml:space="preserve">EMP-027</t>
  </si>
  <si>
    <t xml:space="preserve">Salma Fouad</t>
  </si>
  <si>
    <t xml:space="preserve">Project_ID</t>
  </si>
  <si>
    <t xml:space="preserve">Project_Name</t>
  </si>
  <si>
    <t xml:space="preserve">Client</t>
  </si>
  <si>
    <t xml:space="preserve">Project_Manager</t>
  </si>
  <si>
    <t xml:space="preserve">Start_Date</t>
  </si>
  <si>
    <t xml:space="preserve">Budget</t>
  </si>
  <si>
    <t xml:space="preserve">PRJ-001</t>
  </si>
  <si>
    <t xml:space="preserve">Website Redesign</t>
  </si>
  <si>
    <t xml:space="preserve">Nile Corp</t>
  </si>
  <si>
    <t xml:space="preserve">Mona Farid</t>
  </si>
  <si>
    <t xml:space="preserve">2024-06-12</t>
  </si>
  <si>
    <t xml:space="preserve">PRJ-002</t>
  </si>
  <si>
    <t xml:space="preserve">ERP System Rollout</t>
  </si>
  <si>
    <t xml:space="preserve">Delta Retail Group</t>
  </si>
  <si>
    <t xml:space="preserve">Youssef Adel</t>
  </si>
  <si>
    <t xml:space="preserve">2024-07-08</t>
  </si>
  <si>
    <t xml:space="preserve">PRJ-003</t>
  </si>
  <si>
    <t xml:space="preserve">Mobile App Launch</t>
  </si>
  <si>
    <t xml:space="preserve">Alexandria Logistics</t>
  </si>
  <si>
    <t xml:space="preserve">Ahmed Nabil</t>
  </si>
  <si>
    <t xml:space="preserve">2024-02-27</t>
  </si>
  <si>
    <t xml:space="preserve">PRJ-004</t>
  </si>
  <si>
    <t xml:space="preserve">Warehouse Automation</t>
  </si>
  <si>
    <t xml:space="preserve">Cairo Financial Services</t>
  </si>
  <si>
    <t xml:space="preserve">Laila Samir</t>
  </si>
  <si>
    <t xml:space="preserve">2024-06-22</t>
  </si>
  <si>
    <t xml:space="preserve">PRJ-005</t>
  </si>
  <si>
    <t xml:space="preserve">Customer Portal Upgrade</t>
  </si>
  <si>
    <t xml:space="preserve">Horizon Manufacturing</t>
  </si>
  <si>
    <t xml:space="preserve">2024-01-09</t>
  </si>
  <si>
    <t xml:space="preserve">PRJ-006</t>
  </si>
  <si>
    <t xml:space="preserve">CRM Migration</t>
  </si>
  <si>
    <t xml:space="preserve">BlueWave Telecom</t>
  </si>
  <si>
    <t xml:space="preserve">2024-02-25</t>
  </si>
  <si>
    <t xml:space="preserve">PRJ-007</t>
  </si>
  <si>
    <t xml:space="preserve">Network Security Overhaul</t>
  </si>
  <si>
    <t xml:space="preserve">Internal</t>
  </si>
  <si>
    <t xml:space="preserve">2024-05-23</t>
  </si>
  <si>
    <t xml:space="preserve">PRJ-008</t>
  </si>
  <si>
    <t xml:space="preserve">Office Relocation</t>
  </si>
  <si>
    <t xml:space="preserve">Pharos Holdings</t>
  </si>
  <si>
    <t xml:space="preserve">Nourhan Tarek</t>
  </si>
  <si>
    <t xml:space="preserve">2024-02-26</t>
  </si>
  <si>
    <t xml:space="preserve">PRJ-009</t>
  </si>
  <si>
    <t xml:space="preserve">Supply Chain Optimization</t>
  </si>
  <si>
    <t xml:space="preserve">Suez Trading Co.</t>
  </si>
  <si>
    <t xml:space="preserve">2024-01-02</t>
  </si>
  <si>
    <t xml:space="preserve">PRJ-010</t>
  </si>
  <si>
    <t xml:space="preserve">Product Line Expansion</t>
  </si>
  <si>
    <t xml:space="preserve">Sara Hassan</t>
  </si>
  <si>
    <t xml:space="preserve">2024-03-28</t>
  </si>
  <si>
    <t xml:space="preserve">PRJ-011</t>
  </si>
  <si>
    <t xml:space="preserve">HR System Implementation</t>
  </si>
  <si>
    <t xml:space="preserve">Giza Health Systems</t>
  </si>
  <si>
    <t xml:space="preserve">PRJ-012</t>
  </si>
  <si>
    <t xml:space="preserve">Cloud Migration</t>
  </si>
  <si>
    <t xml:space="preserve">Red Sea Tourism</t>
  </si>
  <si>
    <t xml:space="preserve">2024-01-24</t>
  </si>
  <si>
    <t xml:space="preserve">PRJ-013</t>
  </si>
  <si>
    <t xml:space="preserve">Brand Refresh Campaign</t>
  </si>
  <si>
    <t xml:space="preserve">2024-04-01</t>
  </si>
  <si>
    <t xml:space="preserve">PRJ-014</t>
  </si>
  <si>
    <t xml:space="preserve">Retail Store Opening</t>
  </si>
  <si>
    <t xml:space="preserve">Orbit Media</t>
  </si>
  <si>
    <t xml:space="preserve">2024-01-12</t>
  </si>
  <si>
    <t xml:space="preserve">PRJ-015</t>
  </si>
  <si>
    <t xml:space="preserve">Data Center Upgrade</t>
  </si>
  <si>
    <t xml:space="preserve">2024-04-06</t>
  </si>
  <si>
    <t xml:space="preserve">Task_ID</t>
  </si>
  <si>
    <t xml:space="preserve">Task_Name</t>
  </si>
  <si>
    <t xml:space="preserve">Assigned_To</t>
  </si>
  <si>
    <t xml:space="preserve">Priority</t>
  </si>
  <si>
    <t xml:space="preserve">Status</t>
  </si>
  <si>
    <t xml:space="preserve">Planned_End_Date</t>
  </si>
  <si>
    <t xml:space="preserve">Actual_End_Date</t>
  </si>
  <si>
    <t xml:space="preserve">Planned_Cost</t>
  </si>
  <si>
    <t xml:space="preserve">Actual_Cost</t>
  </si>
  <si>
    <t xml:space="preserve">TSK-0085</t>
  </si>
  <si>
    <t xml:space="preserve">Audit marketing collateral</t>
  </si>
  <si>
    <t xml:space="preserve">FINANCE</t>
  </si>
  <si>
    <t xml:space="preserve">MEDIUM</t>
  </si>
  <si>
    <t xml:space="preserve">Delayed </t>
  </si>
  <si>
    <t xml:space="preserve">05-Jul-2024</t>
  </si>
  <si>
    <t xml:space="preserve">02-Aug-2024</t>
  </si>
  <si>
    <t xml:space="preserve">09-Aug-2024</t>
  </si>
  <si>
    <t xml:space="preserve">TSK-0276</t>
  </si>
  <si>
    <t xml:space="preserve">Develop backup procedure</t>
  </si>
  <si>
    <t xml:space="preserve">high</t>
  </si>
  <si>
    <t xml:space="preserve">in progress</t>
  </si>
  <si>
    <t xml:space="preserve">2024-06-20</t>
  </si>
  <si>
    <t xml:space="preserve">TSK-0216</t>
  </si>
  <si>
    <t xml:space="preserve">Procure warehouse layout  </t>
  </si>
  <si>
    <t xml:space="preserve">MARKETING</t>
  </si>
  <si>
    <t xml:space="preserve">Low</t>
  </si>
  <si>
    <t xml:space="preserve">IN PROGRESS</t>
  </si>
  <si>
    <t xml:space="preserve">2024/04/03</t>
  </si>
  <si>
    <t xml:space="preserve">2024/04/30</t>
  </si>
  <si>
    <t xml:space="preserve">TSK-0122</t>
  </si>
  <si>
    <t xml:space="preserve">Audit vendor contract</t>
  </si>
  <si>
    <t xml:space="preserve">finance</t>
  </si>
  <si>
    <t xml:space="preserve">medium</t>
  </si>
  <si>
    <t xml:space="preserve">DELAYED</t>
  </si>
  <si>
    <t xml:space="preserve">06-29-2024</t>
  </si>
  <si>
    <t xml:space="preserve">07-12-2024</t>
  </si>
  <si>
    <t xml:space="preserve">07-24-2024</t>
  </si>
  <si>
    <t xml:space="preserve">TSK-0299</t>
  </si>
  <si>
    <t xml:space="preserve">Configure supplier list</t>
  </si>
  <si>
    <t xml:space="preserve">HIGH</t>
  </si>
  <si>
    <t xml:space="preserve">04-Aug-2024</t>
  </si>
  <si>
    <t xml:space="preserve">26-Aug-2024</t>
  </si>
  <si>
    <t xml:space="preserve">TSK-0150</t>
  </si>
  <si>
    <t xml:space="preserve">Develop training material</t>
  </si>
  <si>
    <t xml:space="preserve">Delayed</t>
  </si>
  <si>
    <t xml:space="preserve">07-20-2024</t>
  </si>
  <si>
    <t xml:space="preserve">08-07-2024</t>
  </si>
  <si>
    <t xml:space="preserve">08-12-2024</t>
  </si>
  <si>
    <t xml:space="preserve">TSK-0303</t>
  </si>
  <si>
    <t xml:space="preserve">Plan hardware setup</t>
  </si>
  <si>
    <t xml:space="preserve">M</t>
  </si>
  <si>
    <t xml:space="preserve">Not Started</t>
  </si>
  <si>
    <t xml:space="preserve">2024/05/26</t>
  </si>
  <si>
    <t xml:space="preserve">2024/06/16</t>
  </si>
  <si>
    <t xml:space="preserve">TSK-0058</t>
  </si>
  <si>
    <t xml:space="preserve">Audit inventory system</t>
  </si>
  <si>
    <t xml:space="preserve">Medium</t>
  </si>
  <si>
    <t xml:space="preserve">Not started </t>
  </si>
  <si>
    <t xml:space="preserve">20-Jul-2024</t>
  </si>
  <si>
    <t xml:space="preserve">19-Aug-2024</t>
  </si>
  <si>
    <t xml:space="preserve">TSK-0014</t>
  </si>
  <si>
    <t xml:space="preserve">Deploy inventory system</t>
  </si>
  <si>
    <t xml:space="preserve">In Progress</t>
  </si>
  <si>
    <t xml:space="preserve">14-Aug-2024</t>
  </si>
  <si>
    <t xml:space="preserve">07-Sep-2024</t>
  </si>
  <si>
    <t xml:space="preserve">TSK-0090</t>
  </si>
  <si>
    <t xml:space="preserve">Optimize quality checklist</t>
  </si>
  <si>
    <t xml:space="preserve">Marketing </t>
  </si>
  <si>
    <t xml:space="preserve">L</t>
  </si>
  <si>
    <t xml:space="preserve">Complete</t>
  </si>
  <si>
    <t xml:space="preserve">2024-02-19</t>
  </si>
  <si>
    <t xml:space="preserve">2024-03-19</t>
  </si>
  <si>
    <t xml:space="preserve">2024-03-17</t>
  </si>
  <si>
    <t xml:space="preserve">TSK-0211</t>
  </si>
  <si>
    <t xml:space="preserve">Document training material</t>
  </si>
  <si>
    <t xml:space="preserve">I.T.</t>
  </si>
  <si>
    <t xml:space="preserve">H</t>
  </si>
  <si>
    <t xml:space="preserve"> In Progress</t>
  </si>
  <si>
    <t xml:space="preserve">30-Jun-2024</t>
  </si>
  <si>
    <t xml:space="preserve">15-Jul-2024</t>
  </si>
  <si>
    <t xml:space="preserve">TSK-0093</t>
  </si>
  <si>
    <t xml:space="preserve">Procure vendor contract</t>
  </si>
  <si>
    <t xml:space="preserve">marketing</t>
  </si>
  <si>
    <t xml:space="preserve">2024/01/10</t>
  </si>
  <si>
    <t xml:space="preserve">2024/01/15</t>
  </si>
  <si>
    <t xml:space="preserve">2024/01/12</t>
  </si>
  <si>
    <t xml:space="preserve">TSK-0172</t>
  </si>
  <si>
    <t xml:space="preserve">Audit user interface</t>
  </si>
  <si>
    <t xml:space="preserve">QA</t>
  </si>
  <si>
    <t xml:space="preserve">Completed</t>
  </si>
  <si>
    <t xml:space="preserve">20/05/2024</t>
  </si>
  <si>
    <t xml:space="preserve">29/05/2024</t>
  </si>
  <si>
    <t xml:space="preserve">TSK-0153</t>
  </si>
  <si>
    <t xml:space="preserve">Med</t>
  </si>
  <si>
    <t xml:space="preserve">Ongoing</t>
  </si>
  <si>
    <t xml:space="preserve">2024/04/13</t>
  </si>
  <si>
    <t xml:space="preserve">2024/05/07</t>
  </si>
  <si>
    <t xml:space="preserve">TSK-0053</t>
  </si>
  <si>
    <t xml:space="preserve">Migrate API integration  </t>
  </si>
  <si>
    <t xml:space="preserve">COMPLETED</t>
  </si>
  <si>
    <t xml:space="preserve">07-Jun-2024</t>
  </si>
  <si>
    <t xml:space="preserve">27-Jun-2024</t>
  </si>
  <si>
    <t xml:space="preserve">TSK-0288</t>
  </si>
  <si>
    <t xml:space="preserve">Optimize customer feedback survey  </t>
  </si>
  <si>
    <t xml:space="preserve">it</t>
  </si>
  <si>
    <t xml:space="preserve">22/02/2024</t>
  </si>
  <si>
    <t xml:space="preserve">08/03/2024</t>
  </si>
  <si>
    <t xml:space="preserve">10/03/2024</t>
  </si>
  <si>
    <t xml:space="preserve">TSK-0038</t>
  </si>
  <si>
    <t xml:space="preserve">Audit API integration</t>
  </si>
  <si>
    <t xml:space="preserve">PROCUREMENT</t>
  </si>
  <si>
    <t xml:space="preserve">2024-08-09</t>
  </si>
  <si>
    <t xml:space="preserve">2024-09-01</t>
  </si>
  <si>
    <t xml:space="preserve">TSK-0101</t>
  </si>
  <si>
    <t xml:space="preserve">Design network infrastructure</t>
  </si>
  <si>
    <t xml:space="preserve">28/01/2024</t>
  </si>
  <si>
    <t xml:space="preserve">21/02/2024</t>
  </si>
  <si>
    <t xml:space="preserve">23/02/2024</t>
  </si>
  <si>
    <t xml:space="preserve">TSK-0024</t>
  </si>
  <si>
    <t xml:space="preserve">Migrate backup procedure</t>
  </si>
  <si>
    <t xml:space="preserve">09-07-2024</t>
  </si>
  <si>
    <t xml:space="preserve">09-18-2024</t>
  </si>
  <si>
    <t xml:space="preserve">TSK-0212</t>
  </si>
  <si>
    <t xml:space="preserve">Test backup procedure</t>
  </si>
  <si>
    <t xml:space="preserve">I.T</t>
  </si>
  <si>
    <t xml:space="preserve">High</t>
  </si>
  <si>
    <t xml:space="preserve">NOT STARTED</t>
  </si>
  <si>
    <t xml:space="preserve">2024-05-22</t>
  </si>
  <si>
    <t xml:space="preserve">2024-05-30</t>
  </si>
  <si>
    <t xml:space="preserve">TSK-0204</t>
  </si>
  <si>
    <t xml:space="preserve">Document warehouse layout</t>
  </si>
  <si>
    <t xml:space="preserve">Done</t>
  </si>
  <si>
    <t xml:space="preserve">2024-04-22</t>
  </si>
  <si>
    <t xml:space="preserve">2024-05-02</t>
  </si>
  <si>
    <t xml:space="preserve">2024-05-04</t>
  </si>
  <si>
    <t xml:space="preserve">TSK-0317</t>
  </si>
  <si>
    <t xml:space="preserve">TEST - ignore</t>
  </si>
  <si>
    <t xml:space="preserve">TSK-0104</t>
  </si>
  <si>
    <t xml:space="preserve">Install budget report</t>
  </si>
  <si>
    <t xml:space="preserve">LOW</t>
  </si>
  <si>
    <t xml:space="preserve">completed</t>
  </si>
  <si>
    <t xml:space="preserve">13/05/2024</t>
  </si>
  <si>
    <t xml:space="preserve">22/05/2024</t>
  </si>
  <si>
    <t xml:space="preserve">19/05/2024</t>
  </si>
  <si>
    <t xml:space="preserve">TSK-0192</t>
  </si>
  <si>
    <t xml:space="preserve">Analyze security policy</t>
  </si>
  <si>
    <t xml:space="preserve">2024-06-19</t>
  </si>
  <si>
    <t xml:space="preserve">2024-06-24</t>
  </si>
  <si>
    <t xml:space="preserve">TSK-0245</t>
  </si>
  <si>
    <t xml:space="preserve">Test marketing collateral  </t>
  </si>
  <si>
    <t xml:space="preserve">2024-03-15</t>
  </si>
  <si>
    <t xml:space="preserve">TSK-0213</t>
  </si>
  <si>
    <t xml:space="preserve">Train users on hardware setup</t>
  </si>
  <si>
    <t xml:space="preserve">05-Apr-2024</t>
  </si>
  <si>
    <t xml:space="preserve">09-Apr-2024</t>
  </si>
  <si>
    <t xml:space="preserve">TSK-0149</t>
  </si>
  <si>
    <t xml:space="preserve">Test API integration</t>
  </si>
  <si>
    <t xml:space="preserve">26/06/2024</t>
  </si>
  <si>
    <t xml:space="preserve">30/06/2024</t>
  </si>
  <si>
    <t xml:space="preserve">TSK-0198</t>
  </si>
  <si>
    <t xml:space="preserve">Plan database schema</t>
  </si>
  <si>
    <t xml:space="preserve">05-30-2024</t>
  </si>
  <si>
    <t xml:space="preserve">06-13-2024</t>
  </si>
  <si>
    <t xml:space="preserve">TSK-0082</t>
  </si>
  <si>
    <t xml:space="preserve">Audit budget report</t>
  </si>
  <si>
    <t xml:space="preserve">10-29-2024</t>
  </si>
  <si>
    <t xml:space="preserve">11-03-2024</t>
  </si>
  <si>
    <t xml:space="preserve">11-02-2024</t>
  </si>
  <si>
    <t xml:space="preserve">TSK-0119</t>
  </si>
  <si>
    <t xml:space="preserve">Document user interface</t>
  </si>
  <si>
    <t xml:space="preserve">quality assurance</t>
  </si>
  <si>
    <t xml:space="preserve">08/07/2024</t>
  </si>
  <si>
    <t xml:space="preserve">31/07/2024</t>
  </si>
  <si>
    <t xml:space="preserve">02/08/2024</t>
  </si>
  <si>
    <t xml:space="preserve">TSK-0304</t>
  </si>
  <si>
    <t xml:space="preserve">Approve budget report</t>
  </si>
  <si>
    <t xml:space="preserve"> Khaled Naguib </t>
  </si>
  <si>
    <t xml:space="preserve">25-Aug-2024</t>
  </si>
  <si>
    <t xml:space="preserve">TSK-0048</t>
  </si>
  <si>
    <t xml:space="preserve">Install vendor contract</t>
  </si>
  <si>
    <t xml:space="preserve"> IT</t>
  </si>
  <si>
    <t xml:space="preserve">2024-03-01</t>
  </si>
  <si>
    <t xml:space="preserve">2024-03-21</t>
  </si>
  <si>
    <t xml:space="preserve">TSK-0051</t>
  </si>
  <si>
    <t xml:space="preserve">Approve onboarding process</t>
  </si>
  <si>
    <t xml:space="preserve"> HR</t>
  </si>
  <si>
    <t xml:space="preserve">22-Jul-2024</t>
  </si>
  <si>
    <t xml:space="preserve">06-Aug-2024</t>
  </si>
  <si>
    <t xml:space="preserve">TSK-0068</t>
  </si>
  <si>
    <t xml:space="preserve">Review API integration</t>
  </si>
  <si>
    <t xml:space="preserve">17-Oct-2024</t>
  </si>
  <si>
    <t xml:space="preserve">09-Nov-2024</t>
  </si>
  <si>
    <t xml:space="preserve">06-Nov-2024</t>
  </si>
  <si>
    <t xml:space="preserve">TSK-0307</t>
  </si>
  <si>
    <t xml:space="preserve">Deploy server configuration  </t>
  </si>
  <si>
    <t xml:space="preserve">24/06/2024</t>
  </si>
  <si>
    <t xml:space="preserve">04/07/2024</t>
  </si>
  <si>
    <t xml:space="preserve">TSK-0017</t>
  </si>
  <si>
    <t xml:space="preserve">Procure customer feedback survey</t>
  </si>
  <si>
    <t xml:space="preserve">H.R.</t>
  </si>
  <si>
    <t xml:space="preserve">11-07-2024</t>
  </si>
  <si>
    <t xml:space="preserve">11-18-2024</t>
  </si>
  <si>
    <t xml:space="preserve">11-16-2024</t>
  </si>
  <si>
    <t xml:space="preserve">TSK-0206</t>
  </si>
  <si>
    <t xml:space="preserve">Configure network infrastructure</t>
  </si>
  <si>
    <t xml:space="preserve">Pending</t>
  </si>
  <si>
    <t xml:space="preserve">2024/08/09</t>
  </si>
  <si>
    <t xml:space="preserve">2024/08/27</t>
  </si>
  <si>
    <t xml:space="preserve">TSK-0117</t>
  </si>
  <si>
    <t xml:space="preserve">Migrate server configuration</t>
  </si>
  <si>
    <t xml:space="preserve">05-16-2024</t>
  </si>
  <si>
    <t xml:space="preserve">05-24-2024</t>
  </si>
  <si>
    <t xml:space="preserve">TSK-0108</t>
  </si>
  <si>
    <t xml:space="preserve">Deploy hardware setup</t>
  </si>
  <si>
    <t xml:space="preserve">OPERATIONS</t>
  </si>
  <si>
    <t xml:space="preserve">delayed</t>
  </si>
  <si>
    <t xml:space="preserve">05-07-2024</t>
  </si>
  <si>
    <t xml:space="preserve">06-06-2024</t>
  </si>
  <si>
    <t xml:space="preserve">06-05-2024</t>
  </si>
  <si>
    <t xml:space="preserve">TSK-0196</t>
  </si>
  <si>
    <t xml:space="preserve">Review network infrastructure</t>
  </si>
  <si>
    <t xml:space="preserve">operations</t>
  </si>
  <si>
    <t xml:space="preserve">17/06/2024</t>
  </si>
  <si>
    <t xml:space="preserve">TSK-0305</t>
  </si>
  <si>
    <t xml:space="preserve">Plan training material</t>
  </si>
  <si>
    <t xml:space="preserve">14-Jun-2024</t>
  </si>
  <si>
    <t xml:space="preserve">01-Jul-2024</t>
  </si>
  <si>
    <t xml:space="preserve">TSK-0177</t>
  </si>
  <si>
    <t xml:space="preserve">Migrate employee handbook</t>
  </si>
  <si>
    <t xml:space="preserve">02-26-2024</t>
  </si>
  <si>
    <t xml:space="preserve">03-13-2024</t>
  </si>
  <si>
    <t xml:space="preserve">TSK-0137</t>
  </si>
  <si>
    <t xml:space="preserve">Develop inventory system</t>
  </si>
  <si>
    <t xml:space="preserve">2024/07/23</t>
  </si>
  <si>
    <t xml:space="preserve">2024/08/01</t>
  </si>
  <si>
    <t xml:space="preserve">2024/07/29</t>
  </si>
  <si>
    <t xml:space="preserve">TSK-0210</t>
  </si>
  <si>
    <t xml:space="preserve">Analyze marketing collateral</t>
  </si>
  <si>
    <t xml:space="preserve">2024-05-20</t>
  </si>
  <si>
    <t xml:space="preserve">2024-06-06</t>
  </si>
  <si>
    <t xml:space="preserve">TSK-0181</t>
  </si>
  <si>
    <t xml:space="preserve">Deploy budget report  </t>
  </si>
  <si>
    <t xml:space="preserve">Ops</t>
  </si>
  <si>
    <t xml:space="preserve">05/04/2024</t>
  </si>
  <si>
    <t xml:space="preserve">17/04/2024</t>
  </si>
  <si>
    <t xml:space="preserve">TSK-0176</t>
  </si>
  <si>
    <t xml:space="preserve">Design budget report</t>
  </si>
  <si>
    <t xml:space="preserve">2024/03/13</t>
  </si>
  <si>
    <t xml:space="preserve">2024/04/07</t>
  </si>
  <si>
    <t xml:space="preserve">2024/04/06</t>
  </si>
  <si>
    <t xml:space="preserve">TSK-0189</t>
  </si>
  <si>
    <t xml:space="preserve">Plan quality checklist</t>
  </si>
  <si>
    <t xml:space="preserve">2024/08/02</t>
  </si>
  <si>
    <t xml:space="preserve">2024/08/19</t>
  </si>
  <si>
    <t xml:space="preserve">TSK-0138</t>
  </si>
  <si>
    <t xml:space="preserve">Document hardware setup</t>
  </si>
  <si>
    <t xml:space="preserve">Operations </t>
  </si>
  <si>
    <t xml:space="preserve">07-21-2024</t>
  </si>
  <si>
    <t xml:space="preserve">08-19-2024</t>
  </si>
  <si>
    <t xml:space="preserve">TSK-0061</t>
  </si>
  <si>
    <t xml:space="preserve">Approve quality checklist</t>
  </si>
  <si>
    <t xml:space="preserve">Q.A.</t>
  </si>
  <si>
    <t xml:space="preserve">Behind Schedule</t>
  </si>
  <si>
    <t xml:space="preserve">06-07-2024</t>
  </si>
  <si>
    <t xml:space="preserve">06-10-2024</t>
  </si>
  <si>
    <t xml:space="preserve">06-15-2024</t>
  </si>
  <si>
    <t xml:space="preserve">TSK-0067</t>
  </si>
  <si>
    <t xml:space="preserve">Optimize dashboard</t>
  </si>
  <si>
    <t xml:space="preserve">2024-10-07</t>
  </si>
  <si>
    <t xml:space="preserve">2024-10-26</t>
  </si>
  <si>
    <t xml:space="preserve">TSK-0088</t>
  </si>
  <si>
    <t xml:space="preserve">Plan customer feedback survey</t>
  </si>
  <si>
    <t xml:space="preserve">04/04/2024</t>
  </si>
  <si>
    <t xml:space="preserve">01/05/2024</t>
  </si>
  <si>
    <t xml:space="preserve">02/05/2024</t>
  </si>
  <si>
    <t xml:space="preserve">TSK-0037</t>
  </si>
  <si>
    <t xml:space="preserve">19/11/2024</t>
  </si>
  <si>
    <t xml:space="preserve">11/12/2024</t>
  </si>
  <si>
    <t xml:space="preserve">TSK-0266</t>
  </si>
  <si>
    <t xml:space="preserve">Review employee handbook</t>
  </si>
  <si>
    <t xml:space="preserve"> Hana Zaki </t>
  </si>
  <si>
    <t xml:space="preserve">14-Jul-2024</t>
  </si>
  <si>
    <t xml:space="preserve">29-Jul-2024</t>
  </si>
  <si>
    <t xml:space="preserve">TSK-0070</t>
  </si>
  <si>
    <t xml:space="preserve">low</t>
  </si>
  <si>
    <t xml:space="preserve">10-Oct-2024</t>
  </si>
  <si>
    <t xml:space="preserve">27-Oct-2024</t>
  </si>
  <si>
    <t xml:space="preserve">31-Oct-2024</t>
  </si>
  <si>
    <t xml:space="preserve">TSK-0205</t>
  </si>
  <si>
    <t xml:space="preserve">Configure API integration</t>
  </si>
  <si>
    <t xml:space="preserve">29/04/2024</t>
  </si>
  <si>
    <t xml:space="preserve">TSK-0263</t>
  </si>
  <si>
    <t xml:space="preserve">Train users on employee handbook  </t>
  </si>
  <si>
    <t xml:space="preserve">11-Apr-2024</t>
  </si>
  <si>
    <t xml:space="preserve">05-May-2024</t>
  </si>
  <si>
    <t xml:space="preserve">04-May-2024</t>
  </si>
  <si>
    <t xml:space="preserve">TSK-0248</t>
  </si>
  <si>
    <t xml:space="preserve">Review onboarding process</t>
  </si>
  <si>
    <t xml:space="preserve">2024-06-16</t>
  </si>
  <si>
    <t xml:space="preserve">2024-06-15</t>
  </si>
  <si>
    <t xml:space="preserve">TSK-0044</t>
  </si>
  <si>
    <t xml:space="preserve">Design marketing collateral</t>
  </si>
  <si>
    <t xml:space="preserve">2024/05/19</t>
  </si>
  <si>
    <t xml:space="preserve">2024/06/10</t>
  </si>
  <si>
    <t xml:space="preserve">TSK-0208</t>
  </si>
  <si>
    <t xml:space="preserve">05-26-2024</t>
  </si>
  <si>
    <t xml:space="preserve">TSK-0277</t>
  </si>
  <si>
    <t xml:space="preserve">Train users on onboarding process</t>
  </si>
  <si>
    <t xml:space="preserve">procurement</t>
  </si>
  <si>
    <t xml:space="preserve">2024-04-17</t>
  </si>
  <si>
    <t xml:space="preserve">2024-05-10</t>
  </si>
  <si>
    <t xml:space="preserve">TSK-0291</t>
  </si>
  <si>
    <t xml:space="preserve">Analyze quality checklist</t>
  </si>
  <si>
    <t xml:space="preserve"> Finance</t>
  </si>
  <si>
    <t xml:space="preserve">2024/01/29</t>
  </si>
  <si>
    <t xml:space="preserve">2024/02/03</t>
  </si>
  <si>
    <t xml:space="preserve">TSK-0076</t>
  </si>
  <si>
    <t xml:space="preserve">Optimize server configuration  </t>
  </si>
  <si>
    <t xml:space="preserve">08-16-2024</t>
  </si>
  <si>
    <t xml:space="preserve">09-12-2024</t>
  </si>
  <si>
    <t xml:space="preserve">09-13-2024</t>
  </si>
  <si>
    <t xml:space="preserve">TSK-0318</t>
  </si>
  <si>
    <t xml:space="preserve">TSK-0284</t>
  </si>
  <si>
    <t xml:space="preserve">Document budget report</t>
  </si>
  <si>
    <t xml:space="preserve">10-Jun-2024</t>
  </si>
  <si>
    <t xml:space="preserve">08-Jul-2024</t>
  </si>
  <si>
    <t xml:space="preserve">23-Jul-2024</t>
  </si>
  <si>
    <t xml:space="preserve">TSK-0297</t>
  </si>
  <si>
    <t xml:space="preserve">Deploy user interface</t>
  </si>
  <si>
    <t xml:space="preserve">2024/05/22</t>
  </si>
  <si>
    <t xml:space="preserve">2024/06/18</t>
  </si>
  <si>
    <t xml:space="preserve">2024/06/19</t>
  </si>
  <si>
    <t xml:space="preserve">TSK-0259</t>
  </si>
  <si>
    <t xml:space="preserve">Plan server configuration  </t>
  </si>
  <si>
    <t xml:space="preserve">01/06/2024</t>
  </si>
  <si>
    <t xml:space="preserve">TSK-0006</t>
  </si>
  <si>
    <t xml:space="preserve">Design onboarding process</t>
  </si>
  <si>
    <t xml:space="preserve">14-Oct-2024</t>
  </si>
  <si>
    <t xml:space="preserve">01-Nov-2024</t>
  </si>
  <si>
    <t xml:space="preserve">04-Nov-2024</t>
  </si>
  <si>
    <t xml:space="preserve">TSK-0296</t>
  </si>
  <si>
    <t xml:space="preserve">Design employee handbook</t>
  </si>
  <si>
    <t xml:space="preserve">15-May-2024</t>
  </si>
  <si>
    <t xml:space="preserve">11-Jun-2024</t>
  </si>
  <si>
    <t xml:space="preserve">TSK-0007</t>
  </si>
  <si>
    <t xml:space="preserve">2024/07/21</t>
  </si>
  <si>
    <t xml:space="preserve">2024/07/30</t>
  </si>
  <si>
    <t xml:space="preserve">TSK-0271</t>
  </si>
  <si>
    <t xml:space="preserve">Deploy warehouse layout</t>
  </si>
  <si>
    <t xml:space="preserve">01-29-2024</t>
  </si>
  <si>
    <t xml:space="preserve">02-07-2024</t>
  </si>
  <si>
    <t xml:space="preserve">02-06-2024</t>
  </si>
  <si>
    <t xml:space="preserve">TSK-0252</t>
  </si>
  <si>
    <t xml:space="preserve">Procure warehouse layout</t>
  </si>
  <si>
    <t xml:space="preserve">2024/08/08</t>
  </si>
  <si>
    <t xml:space="preserve">2024/08/15</t>
  </si>
  <si>
    <t xml:space="preserve">TSK-0222</t>
  </si>
  <si>
    <t xml:space="preserve">Test security policy</t>
  </si>
  <si>
    <t xml:space="preserve">2024/05/11</t>
  </si>
  <si>
    <t xml:space="preserve">2024/06/06</t>
  </si>
  <si>
    <t xml:space="preserve">2024/06/17</t>
  </si>
  <si>
    <t xml:space="preserve">TSK-0201</t>
  </si>
  <si>
    <t xml:space="preserve">Train users on dashboard  </t>
  </si>
  <si>
    <t xml:space="preserve">07-03-2024</t>
  </si>
  <si>
    <t xml:space="preserve">07-27-2024</t>
  </si>
  <si>
    <t xml:space="preserve">TSK-0207</t>
  </si>
  <si>
    <t xml:space="preserve">Analyze onboarding process</t>
  </si>
  <si>
    <t xml:space="preserve">not started</t>
  </si>
  <si>
    <t xml:space="preserve">2024-04-25</t>
  </si>
  <si>
    <t xml:space="preserve">2024-05-25</t>
  </si>
  <si>
    <t xml:space="preserve">TSK-0185</t>
  </si>
  <si>
    <t xml:space="preserve">Develop onboarding process</t>
  </si>
  <si>
    <t xml:space="preserve">2024-01-06</t>
  </si>
  <si>
    <t xml:space="preserve">2024-01-27</t>
  </si>
  <si>
    <t xml:space="preserve">TSK-0045</t>
  </si>
  <si>
    <t xml:space="preserve">Procure backup procedure</t>
  </si>
  <si>
    <t xml:space="preserve">07-25-2024</t>
  </si>
  <si>
    <t xml:space="preserve">08-10-2024</t>
  </si>
  <si>
    <t xml:space="preserve">TSK-0218</t>
  </si>
  <si>
    <t xml:space="preserve">Train users on backup procedure</t>
  </si>
  <si>
    <t xml:space="preserve">16/03/2024</t>
  </si>
  <si>
    <t xml:space="preserve">09/04/2024</t>
  </si>
  <si>
    <t xml:space="preserve">TSK-0190</t>
  </si>
  <si>
    <t xml:space="preserve">Plan user interface</t>
  </si>
  <si>
    <t xml:space="preserve">31/03/2024</t>
  </si>
  <si>
    <t xml:space="preserve">10/04/2024</t>
  </si>
  <si>
    <t xml:space="preserve">TSK-0295</t>
  </si>
  <si>
    <t xml:space="preserve">Optimize security policy</t>
  </si>
  <si>
    <t xml:space="preserve">05/07/2024</t>
  </si>
  <si>
    <t xml:space="preserve">14/07/2024</t>
  </si>
  <si>
    <t xml:space="preserve">15/07/2024</t>
  </si>
  <si>
    <t xml:space="preserve">TSK-0155</t>
  </si>
  <si>
    <t xml:space="preserve">Approve database schema</t>
  </si>
  <si>
    <t xml:space="preserve">03-03-2024</t>
  </si>
  <si>
    <t xml:space="preserve">03-08-2024</t>
  </si>
  <si>
    <t xml:space="preserve">03-07-2024</t>
  </si>
  <si>
    <t xml:space="preserve">TSK-0109</t>
  </si>
  <si>
    <t xml:space="preserve">Develop warehouse layout</t>
  </si>
  <si>
    <t xml:space="preserve">2024-05-21</t>
  </si>
  <si>
    <t xml:space="preserve">TSK-0281</t>
  </si>
  <si>
    <t xml:space="preserve">Plan backup procedure</t>
  </si>
  <si>
    <t xml:space="preserve">02-17-2024</t>
  </si>
  <si>
    <t xml:space="preserve">03-16-2024</t>
  </si>
  <si>
    <t xml:space="preserve">03-31-2024</t>
  </si>
  <si>
    <t xml:space="preserve">TSK-0144</t>
  </si>
  <si>
    <t xml:space="preserve">Approve warehouse layout</t>
  </si>
  <si>
    <t xml:space="preserve">06/08/2024</t>
  </si>
  <si>
    <t xml:space="preserve">13/08/2024</t>
  </si>
  <si>
    <t xml:space="preserve">TSK-0077</t>
  </si>
  <si>
    <t xml:space="preserve">Optimize supplier list</t>
  </si>
  <si>
    <t xml:space="preserve">2024-08-26</t>
  </si>
  <si>
    <t xml:space="preserve">2024-09-07</t>
  </si>
  <si>
    <t xml:space="preserve">TSK-0124</t>
  </si>
  <si>
    <t xml:space="preserve">Develop vendor contract</t>
  </si>
  <si>
    <t xml:space="preserve">27/04/2024</t>
  </si>
  <si>
    <t xml:space="preserve">TSK-0285</t>
  </si>
  <si>
    <t xml:space="preserve">Procure quality checklist</t>
  </si>
  <si>
    <t xml:space="preserve">05-27-2024</t>
  </si>
  <si>
    <t xml:space="preserve">TSK-0063</t>
  </si>
  <si>
    <t xml:space="preserve">Deploy supplier list</t>
  </si>
  <si>
    <t xml:space="preserve">2024/06/22</t>
  </si>
  <si>
    <t xml:space="preserve">2024/07/06</t>
  </si>
  <si>
    <t xml:space="preserve">TSK-0023</t>
  </si>
  <si>
    <t xml:space="preserve">Install training material</t>
  </si>
  <si>
    <t xml:space="preserve">2024/10/29</t>
  </si>
  <si>
    <t xml:space="preserve">2024/11/20</t>
  </si>
  <si>
    <t xml:space="preserve">TSK-0253</t>
  </si>
  <si>
    <t xml:space="preserve">22/06/2024</t>
  </si>
  <si>
    <t xml:space="preserve">11/07/2024</t>
  </si>
  <si>
    <t xml:space="preserve">TSK-0042</t>
  </si>
  <si>
    <t xml:space="preserve">2024/03/16</t>
  </si>
  <si>
    <t xml:space="preserve">2024/04/09</t>
  </si>
  <si>
    <t xml:space="preserve">TSK-0261</t>
  </si>
  <si>
    <t xml:space="preserve">Test server configuration</t>
  </si>
  <si>
    <t xml:space="preserve">2024/04/19</t>
  </si>
  <si>
    <t xml:space="preserve">2024/05/17</t>
  </si>
  <si>
    <t xml:space="preserve">TSK-0229</t>
  </si>
  <si>
    <t xml:space="preserve">Optimize hardware setup</t>
  </si>
  <si>
    <t xml:space="preserve">2024-06-07</t>
  </si>
  <si>
    <t xml:space="preserve">2024-07-01</t>
  </si>
  <si>
    <t xml:space="preserve">TSK-0132</t>
  </si>
  <si>
    <t xml:space="preserve">Deploy training material</t>
  </si>
  <si>
    <t xml:space="preserve">2024/10/10</t>
  </si>
  <si>
    <t xml:space="preserve">TSK-0270</t>
  </si>
  <si>
    <t xml:space="preserve">Train users on vendor contract</t>
  </si>
  <si>
    <t xml:space="preserve">2024-08-19</t>
  </si>
  <si>
    <t xml:space="preserve">2024-08-24</t>
  </si>
  <si>
    <t xml:space="preserve">TSK-0112</t>
  </si>
  <si>
    <t xml:space="preserve">Procure inventory system</t>
  </si>
  <si>
    <t xml:space="preserve">2024/03/20</t>
  </si>
  <si>
    <t xml:space="preserve">2024/03/24</t>
  </si>
  <si>
    <t xml:space="preserve">TSK-0237</t>
  </si>
  <si>
    <t xml:space="preserve">Plan vendor contract</t>
  </si>
  <si>
    <t xml:space="preserve">2024/03/21</t>
  </si>
  <si>
    <t xml:space="preserve">2024/04/16</t>
  </si>
  <si>
    <t xml:space="preserve">TSK-0127</t>
  </si>
  <si>
    <t xml:space="preserve">Migrate training material</t>
  </si>
  <si>
    <t xml:space="preserve">2024-06-26</t>
  </si>
  <si>
    <t xml:space="preserve">2024-07-26</t>
  </si>
  <si>
    <t xml:space="preserve">2024-07-27</t>
  </si>
  <si>
    <t xml:space="preserve">TSK-0257</t>
  </si>
  <si>
    <t xml:space="preserve">Document employee handbook</t>
  </si>
  <si>
    <t xml:space="preserve">2024/07/25</t>
  </si>
  <si>
    <t xml:space="preserve">2024/07/31</t>
  </si>
  <si>
    <t xml:space="preserve">TSK-0030</t>
  </si>
  <si>
    <t xml:space="preserve">Plan hardware setup  </t>
  </si>
  <si>
    <t xml:space="preserve">2024-10-10</t>
  </si>
  <si>
    <t xml:space="preserve">2024-10-18</t>
  </si>
  <si>
    <t xml:space="preserve">2024-10-19</t>
  </si>
  <si>
    <t xml:space="preserve">TSK-0032</t>
  </si>
  <si>
    <t xml:space="preserve">Train users on customer feedback survey</t>
  </si>
  <si>
    <t xml:space="preserve">04/08/2024</t>
  </si>
  <si>
    <t xml:space="preserve">20/08/2024</t>
  </si>
  <si>
    <t xml:space="preserve">19/08/2024</t>
  </si>
  <si>
    <t xml:space="preserve">TSK-0075</t>
  </si>
  <si>
    <t xml:space="preserve"> Yasmin Younes </t>
  </si>
  <si>
    <t xml:space="preserve">13/09/2024</t>
  </si>
  <si>
    <t xml:space="preserve">10/10/2024</t>
  </si>
  <si>
    <t xml:space="preserve">11/10/2024</t>
  </si>
  <si>
    <t xml:space="preserve">TSK-0159</t>
  </si>
  <si>
    <t xml:space="preserve">Design dashboard</t>
  </si>
  <si>
    <t xml:space="preserve">hr</t>
  </si>
  <si>
    <t xml:space="preserve">26/03/2024</t>
  </si>
  <si>
    <t xml:space="preserve">16/04/2024</t>
  </si>
  <si>
    <t xml:space="preserve">TSK-0235</t>
  </si>
  <si>
    <t xml:space="preserve">Document quality checklist</t>
  </si>
  <si>
    <t xml:space="preserve">07/06/2024</t>
  </si>
  <si>
    <t xml:space="preserve">16/06/2024</t>
  </si>
  <si>
    <t xml:space="preserve">TSK-0238</t>
  </si>
  <si>
    <t xml:space="preserve">Install onboarding process</t>
  </si>
  <si>
    <t xml:space="preserve">05-Feb-2024</t>
  </si>
  <si>
    <t xml:space="preserve">29-Feb-2024</t>
  </si>
  <si>
    <t xml:space="preserve">TSK-0145</t>
  </si>
  <si>
    <t xml:space="preserve">Develop budget report</t>
  </si>
  <si>
    <t xml:space="preserve">2024-05-26</t>
  </si>
  <si>
    <t xml:space="preserve">2024-06-03</t>
  </si>
  <si>
    <t xml:space="preserve">2024-06-04</t>
  </si>
  <si>
    <t xml:space="preserve">TSK-0171</t>
  </si>
  <si>
    <t xml:space="preserve">Review warehouse layout</t>
  </si>
  <si>
    <t xml:space="preserve">14-Feb-2024</t>
  </si>
  <si>
    <t xml:space="preserve">12-Mar-2024</t>
  </si>
  <si>
    <t xml:space="preserve">TSK-0059</t>
  </si>
  <si>
    <t xml:space="preserve">Test hardware setup</t>
  </si>
  <si>
    <t xml:space="preserve">20/03/2024</t>
  </si>
  <si>
    <t xml:space="preserve">TSK-0131</t>
  </si>
  <si>
    <t xml:space="preserve">Document customer feedback survey</t>
  </si>
  <si>
    <t xml:space="preserve">28/10/2024</t>
  </si>
  <si>
    <t xml:space="preserve">TSK-0236</t>
  </si>
  <si>
    <t xml:space="preserve">Deploy backup procedure</t>
  </si>
  <si>
    <t xml:space="preserve">19-May-2024</t>
  </si>
  <si>
    <t xml:space="preserve">TSK-0186</t>
  </si>
  <si>
    <t xml:space="preserve">Migrate onboarding process</t>
  </si>
  <si>
    <t xml:space="preserve">13/03/2024</t>
  </si>
  <si>
    <t xml:space="preserve">18/03/2024</t>
  </si>
  <si>
    <t xml:space="preserve">TSK-0113</t>
  </si>
  <si>
    <t xml:space="preserve">Test onboarding process</t>
  </si>
  <si>
    <t xml:space="preserve">2024-07-20</t>
  </si>
  <si>
    <t xml:space="preserve">2024-07-31</t>
  </si>
  <si>
    <t xml:space="preserve">TSK-0074</t>
  </si>
  <si>
    <t xml:space="preserve">Deploy database schema</t>
  </si>
  <si>
    <t xml:space="preserve"> Ziad Abdelrahman </t>
  </si>
  <si>
    <t xml:space="preserve">2024-06-23</t>
  </si>
  <si>
    <t xml:space="preserve">TSK-0072</t>
  </si>
  <si>
    <t xml:space="preserve">2024/09/03</t>
  </si>
  <si>
    <t xml:space="preserve">2024/09/25</t>
  </si>
  <si>
    <t xml:space="preserve">TSK-0139</t>
  </si>
  <si>
    <t xml:space="preserve">Migrate supplier list</t>
  </si>
  <si>
    <t xml:space="preserve">09-Sep-2024</t>
  </si>
  <si>
    <t xml:space="preserve">29-Sep-2024</t>
  </si>
  <si>
    <t xml:space="preserve">TSK-0071</t>
  </si>
  <si>
    <t xml:space="preserve">13/07/2024</t>
  </si>
  <si>
    <t xml:space="preserve">18/07/2024</t>
  </si>
  <si>
    <t xml:space="preserve">28/07/2024</t>
  </si>
  <si>
    <t xml:space="preserve">TSK-0273</t>
  </si>
  <si>
    <t xml:space="preserve">Test database schema</t>
  </si>
  <si>
    <t xml:space="preserve">2024-02-16</t>
  </si>
  <si>
    <t xml:space="preserve">2024-03-07</t>
  </si>
  <si>
    <t xml:space="preserve">TSK-0279</t>
  </si>
  <si>
    <t xml:space="preserve">Design inventory system</t>
  </si>
  <si>
    <t xml:space="preserve"> Farida Younes </t>
  </si>
  <si>
    <t xml:space="preserve">14-May-2024</t>
  </si>
  <si>
    <t xml:space="preserve">TSK-0089</t>
  </si>
  <si>
    <t xml:space="preserve">03-21-2024</t>
  </si>
  <si>
    <t xml:space="preserve">04-17-2024</t>
  </si>
  <si>
    <t xml:space="preserve">TSK-0173</t>
  </si>
  <si>
    <t xml:space="preserve">31-May-2024</t>
  </si>
  <si>
    <t xml:space="preserve">25-Jun-2024</t>
  </si>
  <si>
    <t xml:space="preserve">TSK-0283</t>
  </si>
  <si>
    <t xml:space="preserve">07-Mar-2024</t>
  </si>
  <si>
    <t xml:space="preserve">08-Mar-2024</t>
  </si>
  <si>
    <t xml:space="preserve">TSK-0003</t>
  </si>
  <si>
    <t xml:space="preserve">2024/10/21</t>
  </si>
  <si>
    <t xml:space="preserve">2024/10/31</t>
  </si>
  <si>
    <t xml:space="preserve">TSK-0154</t>
  </si>
  <si>
    <t xml:space="preserve">17-May-2024</t>
  </si>
  <si>
    <t xml:space="preserve">28-May-2024</t>
  </si>
  <si>
    <t xml:space="preserve">TSK-0162</t>
  </si>
  <si>
    <t xml:space="preserve">Document dashboard</t>
  </si>
  <si>
    <t xml:space="preserve">2024/02/28</t>
  </si>
  <si>
    <t xml:space="preserve">2024/03/05</t>
  </si>
  <si>
    <t xml:space="preserve">2024/03/10</t>
  </si>
  <si>
    <t xml:space="preserve">TSK-0315</t>
  </si>
  <si>
    <t xml:space="preserve">TSK-0242</t>
  </si>
  <si>
    <t xml:space="preserve"> Mariam Kamal </t>
  </si>
  <si>
    <t xml:space="preserve">02-03-2024</t>
  </si>
  <si>
    <t xml:space="preserve">03-04-2024</t>
  </si>
  <si>
    <t xml:space="preserve">TSK-0039</t>
  </si>
  <si>
    <t xml:space="preserve">18/10/2024</t>
  </si>
  <si>
    <t xml:space="preserve">05/11/2024</t>
  </si>
  <si>
    <t xml:space="preserve">04/11/2024</t>
  </si>
  <si>
    <t xml:space="preserve">TSK-0002</t>
  </si>
  <si>
    <t xml:space="preserve">Document warehouse layout  </t>
  </si>
  <si>
    <t xml:space="preserve">2024-10-05</t>
  </si>
  <si>
    <t xml:space="preserve">2024-10-11</t>
  </si>
  <si>
    <t xml:space="preserve">TSK-0264</t>
  </si>
  <si>
    <t xml:space="preserve">Plan employee handbook</t>
  </si>
  <si>
    <t xml:space="preserve">2024-04-12</t>
  </si>
  <si>
    <t xml:space="preserve">2024-04-24</t>
  </si>
  <si>
    <t xml:space="preserve">2024-04-26</t>
  </si>
  <si>
    <t xml:space="preserve">TSK-0035</t>
  </si>
  <si>
    <t xml:space="preserve">Audit warehouse layout</t>
  </si>
  <si>
    <t xml:space="preserve">10/11/2024</t>
  </si>
  <si>
    <t xml:space="preserve">27/11/2024</t>
  </si>
  <si>
    <t xml:space="preserve">24/11/2024</t>
  </si>
  <si>
    <t xml:space="preserve">TSK-0247</t>
  </si>
  <si>
    <t xml:space="preserve">2024-02-12</t>
  </si>
  <si>
    <t xml:space="preserve">2024-03-10</t>
  </si>
  <si>
    <t xml:space="preserve">TSK-0226</t>
  </si>
  <si>
    <t xml:space="preserve">10/07/2024</t>
  </si>
  <si>
    <t xml:space="preserve">TSK-0265</t>
  </si>
  <si>
    <t xml:space="preserve">Install backup procedure  </t>
  </si>
  <si>
    <t xml:space="preserve"> Dina Zaki </t>
  </si>
  <si>
    <t xml:space="preserve">2024-08-16</t>
  </si>
  <si>
    <t xml:space="preserve">2024-09-14</t>
  </si>
  <si>
    <t xml:space="preserve">2024-09-24</t>
  </si>
  <si>
    <t xml:space="preserve">TSK-0102</t>
  </si>
  <si>
    <t xml:space="preserve">Deploy dashboard</t>
  </si>
  <si>
    <t xml:space="preserve">2024/04/10</t>
  </si>
  <si>
    <t xml:space="preserve">2024/04/25</t>
  </si>
  <si>
    <t xml:space="preserve">TSK-0115</t>
  </si>
  <si>
    <t xml:space="preserve">27-May-2024</t>
  </si>
  <si>
    <t xml:space="preserve">16-Jun-2024</t>
  </si>
  <si>
    <t xml:space="preserve">TSK-0116</t>
  </si>
  <si>
    <t xml:space="preserve">Develop user interface</t>
  </si>
  <si>
    <t xml:space="preserve">2024-04-10</t>
  </si>
  <si>
    <t xml:space="preserve">TSK-0200</t>
  </si>
  <si>
    <t xml:space="preserve">Review user interface  </t>
  </si>
  <si>
    <t xml:space="preserve">05-17-2024</t>
  </si>
  <si>
    <t xml:space="preserve">06-09-2024</t>
  </si>
  <si>
    <t xml:space="preserve">TSK-0316</t>
  </si>
  <si>
    <t xml:space="preserve">TSK-0097</t>
  </si>
  <si>
    <t xml:space="preserve">Audit security policy</t>
  </si>
  <si>
    <t xml:space="preserve"> Noor Naguib </t>
  </si>
  <si>
    <t xml:space="preserve">2024-02-24</t>
  </si>
  <si>
    <t xml:space="preserve">2024-03-23</t>
  </si>
  <si>
    <t xml:space="preserve">TSK-0301</t>
  </si>
  <si>
    <t xml:space="preserve">11-Aug-2024</t>
  </si>
  <si>
    <t xml:space="preserve">18-Aug-2024</t>
  </si>
  <si>
    <t xml:space="preserve">20-Aug-2024</t>
  </si>
  <si>
    <t xml:space="preserve">TSK-0140</t>
  </si>
  <si>
    <t xml:space="preserve">Deploy onboarding process</t>
  </si>
  <si>
    <t xml:space="preserve">2024/09/18</t>
  </si>
  <si>
    <t xml:space="preserve">2024/09/22</t>
  </si>
  <si>
    <t xml:space="preserve">2024/09/23</t>
  </si>
  <si>
    <t xml:space="preserve">TSK-0241</t>
  </si>
  <si>
    <t xml:space="preserve">Test vendor contract</t>
  </si>
  <si>
    <t xml:space="preserve">2024-02-21</t>
  </si>
  <si>
    <t xml:space="preserve">TSK-0243</t>
  </si>
  <si>
    <t xml:space="preserve">15/05/2024</t>
  </si>
  <si>
    <t xml:space="preserve">06/06/2024</t>
  </si>
  <si>
    <t xml:space="preserve">11/06/2024</t>
  </si>
  <si>
    <t xml:space="preserve">TSK-0111</t>
  </si>
  <si>
    <t xml:space="preserve">Deploy quality checklist</t>
  </si>
  <si>
    <t xml:space="preserve">01-Apr-2024</t>
  </si>
  <si>
    <t xml:space="preserve">14-Apr-2024</t>
  </si>
  <si>
    <t xml:space="preserve">16-Apr-2024</t>
  </si>
  <si>
    <t xml:space="preserve">TSK-0106</t>
  </si>
  <si>
    <t xml:space="preserve">Approve API integration</t>
  </si>
  <si>
    <t xml:space="preserve">05-29-2024</t>
  </si>
  <si>
    <t xml:space="preserve">TSK-0280</t>
  </si>
  <si>
    <t xml:space="preserve">Design hardware setup</t>
  </si>
  <si>
    <t xml:space="preserve">2024/01/26</t>
  </si>
  <si>
    <t xml:space="preserve">2024/02/02</t>
  </si>
  <si>
    <t xml:space="preserve">TSK-0084</t>
  </si>
  <si>
    <t xml:space="preserve">Install dashboard</t>
  </si>
  <si>
    <t xml:space="preserve">29/10/2024</t>
  </si>
  <si>
    <t xml:space="preserve">21/11/2024</t>
  </si>
  <si>
    <t xml:space="preserve">TSK-0193</t>
  </si>
  <si>
    <t xml:space="preserve">Design supplier list</t>
  </si>
  <si>
    <t xml:space="preserve"> Sherif Hosny </t>
  </si>
  <si>
    <t xml:space="preserve">17/05/2024</t>
  </si>
  <si>
    <t xml:space="preserve">12/06/2024</t>
  </si>
  <si>
    <t xml:space="preserve">TSK-0310</t>
  </si>
  <si>
    <t xml:space="preserve">08-04-2024</t>
  </si>
  <si>
    <t xml:space="preserve">08-24-2024</t>
  </si>
  <si>
    <t xml:space="preserve">08-21-2024</t>
  </si>
  <si>
    <t xml:space="preserve">TSK-0091</t>
  </si>
  <si>
    <t xml:space="preserve">Analyze database schema</t>
  </si>
  <si>
    <t xml:space="preserve">26-May-2024</t>
  </si>
  <si>
    <t xml:space="preserve">TSK-0114</t>
  </si>
  <si>
    <t xml:space="preserve">Deploy marketing collateral</t>
  </si>
  <si>
    <t xml:space="preserve">24-Jun-2024</t>
  </si>
  <si>
    <t xml:space="preserve">06-Jul-2024</t>
  </si>
  <si>
    <t xml:space="preserve">TSK-0217</t>
  </si>
  <si>
    <t xml:space="preserve">Deploy vendor contract</t>
  </si>
  <si>
    <t xml:space="preserve">2024-06-25</t>
  </si>
  <si>
    <t xml:space="preserve">2024-07-07</t>
  </si>
  <si>
    <t xml:space="preserve">2024-07-06</t>
  </si>
  <si>
    <t xml:space="preserve">TSK-0041</t>
  </si>
  <si>
    <t xml:space="preserve">2024-09-13</t>
  </si>
  <si>
    <t xml:space="preserve">2024-10-06</t>
  </si>
  <si>
    <t xml:space="preserve">TSK-0087</t>
  </si>
  <si>
    <t xml:space="preserve">10-30-2024</t>
  </si>
  <si>
    <t xml:space="preserve">11-13-2024</t>
  </si>
  <si>
    <t xml:space="preserve">11-10-2024</t>
  </si>
  <si>
    <t xml:space="preserve">TSK-0130</t>
  </si>
  <si>
    <t xml:space="preserve">Review hardware setup</t>
  </si>
  <si>
    <t xml:space="preserve">09-19-2024</t>
  </si>
  <si>
    <t xml:space="preserve">10-01-2024</t>
  </si>
  <si>
    <t xml:space="preserve">09-29-2024</t>
  </si>
  <si>
    <t xml:space="preserve">TSK-0103</t>
  </si>
  <si>
    <t xml:space="preserve">Optimize server configuration</t>
  </si>
  <si>
    <t xml:space="preserve">29/03/2024</t>
  </si>
  <si>
    <t xml:space="preserve">21/04/2024</t>
  </si>
  <si>
    <t xml:space="preserve">20/04/2024</t>
  </si>
  <si>
    <t xml:space="preserve">TSK-0302</t>
  </si>
  <si>
    <t xml:space="preserve">08-05-2024</t>
  </si>
  <si>
    <t xml:space="preserve">09-03-2024</t>
  </si>
  <si>
    <t xml:space="preserve">09-05-2024</t>
  </si>
  <si>
    <t xml:space="preserve">TSK-0308</t>
  </si>
  <si>
    <t xml:space="preserve">Plan warehouse layout</t>
  </si>
  <si>
    <t xml:space="preserve">2024/08/22</t>
  </si>
  <si>
    <t xml:space="preserve">2024/09/02</t>
  </si>
  <si>
    <t xml:space="preserve">2024/09/16</t>
  </si>
  <si>
    <t xml:space="preserve">TSK-0043</t>
  </si>
  <si>
    <t xml:space="preserve">Install hardware setup</t>
  </si>
  <si>
    <t xml:space="preserve">2024-05-15</t>
  </si>
  <si>
    <t xml:space="preserve">2024-06-08</t>
  </si>
  <si>
    <t xml:space="preserve">TSK-0027</t>
  </si>
  <si>
    <t xml:space="preserve">2024/11/04</t>
  </si>
  <si>
    <t xml:space="preserve">2024/11/11</t>
  </si>
  <si>
    <t xml:space="preserve">TSK-0110</t>
  </si>
  <si>
    <t xml:space="preserve">Audit dashboard  </t>
  </si>
  <si>
    <t xml:space="preserve"> Aya Ibrahim </t>
  </si>
  <si>
    <t xml:space="preserve">09-May-2024</t>
  </si>
  <si>
    <t xml:space="preserve">01-Jun-2024</t>
  </si>
  <si>
    <t xml:space="preserve">TSK-0118</t>
  </si>
  <si>
    <t xml:space="preserve">Optimize marketing collateral</t>
  </si>
  <si>
    <t xml:space="preserve">2024-03-24</t>
  </si>
  <si>
    <t xml:space="preserve">2024-04-09</t>
  </si>
  <si>
    <t xml:space="preserve">TSK-0092</t>
  </si>
  <si>
    <t xml:space="preserve">Deploy network infrastructure</t>
  </si>
  <si>
    <t xml:space="preserve"> Farida Shawky </t>
  </si>
  <si>
    <t xml:space="preserve">01-16-2024</t>
  </si>
  <si>
    <t xml:space="preserve">TSK-0148</t>
  </si>
  <si>
    <t xml:space="preserve">31/05/2024</t>
  </si>
  <si>
    <t xml:space="preserve">15/06/2024</t>
  </si>
  <si>
    <t xml:space="preserve">TSK-0202</t>
  </si>
  <si>
    <t xml:space="preserve">01/08/2024</t>
  </si>
  <si>
    <t xml:space="preserve">29/07/2024</t>
  </si>
  <si>
    <t xml:space="preserve">TSK-0230</t>
  </si>
  <si>
    <t xml:space="preserve">Audit training material</t>
  </si>
  <si>
    <t xml:space="preserve">04-21-2024</t>
  </si>
  <si>
    <t xml:space="preserve">05-15-2024</t>
  </si>
  <si>
    <t xml:space="preserve">TSK-0282</t>
  </si>
  <si>
    <t xml:space="preserve">Review training material</t>
  </si>
  <si>
    <t xml:space="preserve">03/03/2024</t>
  </si>
  <si>
    <t xml:space="preserve">22/03/2024</t>
  </si>
  <si>
    <t xml:space="preserve">TSK-0170</t>
  </si>
  <si>
    <t xml:space="preserve">Plan budget report</t>
  </si>
  <si>
    <t xml:space="preserve">15-Apr-2024</t>
  </si>
  <si>
    <t xml:space="preserve">21-May-2024</t>
  </si>
  <si>
    <t xml:space="preserve">TSK-0309</t>
  </si>
  <si>
    <t xml:space="preserve">Analyze supplier list</t>
  </si>
  <si>
    <t xml:space="preserve">08-27-2024</t>
  </si>
  <si>
    <t xml:space="preserve">TSK-0234</t>
  </si>
  <si>
    <t xml:space="preserve">Approve supplier list</t>
  </si>
  <si>
    <t xml:space="preserve">22-Jun-2024</t>
  </si>
  <si>
    <t xml:space="preserve">TSK-0161</t>
  </si>
  <si>
    <t xml:space="preserve">2024-05-28</t>
  </si>
  <si>
    <t xml:space="preserve">TSK-0146</t>
  </si>
  <si>
    <t xml:space="preserve">Optimize API integration</t>
  </si>
  <si>
    <t xml:space="preserve">2024/03/08</t>
  </si>
  <si>
    <t xml:space="preserve">TSK-0064</t>
  </si>
  <si>
    <t xml:space="preserve">Analyze user interface</t>
  </si>
  <si>
    <t xml:space="preserve">04-22-2024</t>
  </si>
  <si>
    <t xml:space="preserve">05-09-2024</t>
  </si>
  <si>
    <t xml:space="preserve">05-20-2024</t>
  </si>
  <si>
    <t xml:space="preserve">TSK-0221</t>
  </si>
  <si>
    <t xml:space="preserve">Design backup procedure</t>
  </si>
  <si>
    <t xml:space="preserve">04-03-2024</t>
  </si>
  <si>
    <t xml:space="preserve">TSK-0219</t>
  </si>
  <si>
    <t xml:space="preserve">2024/05/05</t>
  </si>
  <si>
    <t xml:space="preserve">2024/05/24</t>
  </si>
  <si>
    <t xml:space="preserve">TSK-0228</t>
  </si>
  <si>
    <t xml:space="preserve">Train users on marketing collateral</t>
  </si>
  <si>
    <t xml:space="preserve">05-11-2024</t>
  </si>
  <si>
    <t xml:space="preserve">06-04-2024</t>
  </si>
  <si>
    <t xml:space="preserve">06-01-2024</t>
  </si>
  <si>
    <t xml:space="preserve">TSK-0255</t>
  </si>
  <si>
    <t xml:space="preserve">Procure employee handbook</t>
  </si>
  <si>
    <t xml:space="preserve">07-Aug-2024</t>
  </si>
  <si>
    <t xml:space="preserve">27-Aug-2024</t>
  </si>
  <si>
    <t xml:space="preserve">03-Sep-2024</t>
  </si>
  <si>
    <t xml:space="preserve">TSK-0293</t>
  </si>
  <si>
    <t xml:space="preserve">Optimize vendor contract</t>
  </si>
  <si>
    <t xml:space="preserve">2024-03-14</t>
  </si>
  <si>
    <t xml:space="preserve">TSK-0060</t>
  </si>
  <si>
    <t xml:space="preserve">2024-04-20</t>
  </si>
  <si>
    <t xml:space="preserve">TSK-0227</t>
  </si>
  <si>
    <t xml:space="preserve">2024/04/29</t>
  </si>
  <si>
    <t xml:space="preserve">2024/05/08</t>
  </si>
  <si>
    <t xml:space="preserve">TSK-0133</t>
  </si>
  <si>
    <t xml:space="preserve">2024-06-21</t>
  </si>
  <si>
    <t xml:space="preserve">TSK-0056</t>
  </si>
  <si>
    <t xml:space="preserve">2024/02/29</t>
  </si>
  <si>
    <t xml:space="preserve">2024/03/28</t>
  </si>
  <si>
    <t xml:space="preserve">TSK-0020</t>
  </si>
  <si>
    <t xml:space="preserve">TSK-0078</t>
  </si>
  <si>
    <t xml:space="preserve">2024/07/02</t>
  </si>
  <si>
    <t xml:space="preserve">2024/07/18</t>
  </si>
  <si>
    <t xml:space="preserve">2024/07/15</t>
  </si>
  <si>
    <t xml:space="preserve">TSK-0209</t>
  </si>
  <si>
    <t xml:space="preserve">TSK-0267</t>
  </si>
  <si>
    <t xml:space="preserve">Audit dashboard</t>
  </si>
  <si>
    <t xml:space="preserve">2024-04-28</t>
  </si>
  <si>
    <t xml:space="preserve">TSK-0292</t>
  </si>
  <si>
    <t xml:space="preserve">Audit backup procedure</t>
  </si>
  <si>
    <t xml:space="preserve">2024/03/18</t>
  </si>
  <si>
    <t xml:space="preserve">2024/03/26</t>
  </si>
  <si>
    <t xml:space="preserve">TSK-0136</t>
  </si>
  <si>
    <t xml:space="preserve">Train users on security policy</t>
  </si>
  <si>
    <t xml:space="preserve">08/09/2024</t>
  </si>
  <si>
    <t xml:space="preserve">28/09/2024</t>
  </si>
  <si>
    <t xml:space="preserve">TSK-0289</t>
  </si>
  <si>
    <t xml:space="preserve">2024/04/23</t>
  </si>
  <si>
    <t xml:space="preserve">2024/05/15</t>
  </si>
  <si>
    <t xml:space="preserve">TSK-0158</t>
  </si>
  <si>
    <t xml:space="preserve">Migrate hardware setup</t>
  </si>
  <si>
    <t xml:space="preserve">18-May-2024</t>
  </si>
  <si>
    <t xml:space="preserve">09-Jun-2024</t>
  </si>
  <si>
    <t xml:space="preserve">TSK-0015</t>
  </si>
  <si>
    <t xml:space="preserve">Approve user interface</t>
  </si>
  <si>
    <t xml:space="preserve">2024-09-25</t>
  </si>
  <si>
    <t xml:space="preserve">2024-10-23</t>
  </si>
  <si>
    <t xml:space="preserve">2024-10-27</t>
  </si>
  <si>
    <t xml:space="preserve">TSK-0182</t>
  </si>
  <si>
    <t xml:space="preserve">2024-04-16</t>
  </si>
  <si>
    <t xml:space="preserve">2024-05-08</t>
  </si>
  <si>
    <t xml:space="preserve">TSK-0262</t>
  </si>
  <si>
    <t xml:space="preserve">Optimize employee handbook</t>
  </si>
  <si>
    <t xml:space="preserve">2024/06/24</t>
  </si>
  <si>
    <t xml:space="preserve">2024/07/08</t>
  </si>
  <si>
    <t xml:space="preserve">TSK-0107</t>
  </si>
  <si>
    <t xml:space="preserve">23-May-2024</t>
  </si>
  <si>
    <t xml:space="preserve">30-May-2024</t>
  </si>
  <si>
    <t xml:space="preserve">TSK-0313</t>
  </si>
  <si>
    <t xml:space="preserve">2024-06-27</t>
  </si>
  <si>
    <t xml:space="preserve">2024-06-30</t>
  </si>
  <si>
    <t xml:space="preserve">TSK-0143</t>
  </si>
  <si>
    <t xml:space="preserve">Analyze backup procedure</t>
  </si>
  <si>
    <t xml:space="preserve">TSK-0016</t>
  </si>
  <si>
    <t xml:space="preserve">Analyze server configuration</t>
  </si>
  <si>
    <t xml:space="preserve">07-31-2024</t>
  </si>
  <si>
    <t xml:space="preserve">08-15-2024</t>
  </si>
  <si>
    <t xml:space="preserve">TSK-0164</t>
  </si>
  <si>
    <t xml:space="preserve">2024-07-03</t>
  </si>
  <si>
    <t xml:space="preserve">TSK-0029</t>
  </si>
  <si>
    <t xml:space="preserve">Design customer feedback survey</t>
  </si>
  <si>
    <t xml:space="preserve">14/08/2024</t>
  </si>
  <si>
    <t xml:space="preserve">TSK-0287</t>
  </si>
  <si>
    <t xml:space="preserve">2024-05-18</t>
  </si>
  <si>
    <t xml:space="preserve">TSK-0220</t>
  </si>
  <si>
    <t xml:space="preserve">Optimize user interface</t>
  </si>
  <si>
    <t xml:space="preserve">2024/07/11</t>
  </si>
  <si>
    <t xml:space="preserve">2024/08/04</t>
  </si>
  <si>
    <t xml:space="preserve">TSK-0168</t>
  </si>
  <si>
    <t xml:space="preserve">2024/02/07</t>
  </si>
  <si>
    <t xml:space="preserve">2024/02/26</t>
  </si>
  <si>
    <t xml:space="preserve">TSK-0054</t>
  </si>
  <si>
    <t xml:space="preserve">Design user interface  </t>
  </si>
  <si>
    <t xml:space="preserve">06-17-2024</t>
  </si>
  <si>
    <t xml:space="preserve">06-23-2024</t>
  </si>
  <si>
    <t xml:space="preserve">06-25-2024</t>
  </si>
  <si>
    <t xml:space="preserve">TSK-0004</t>
  </si>
  <si>
    <t xml:space="preserve">Review user interface</t>
  </si>
  <si>
    <t xml:space="preserve">2024-09-10</t>
  </si>
  <si>
    <t xml:space="preserve">2024-09-26</t>
  </si>
  <si>
    <t xml:space="preserve">TSK-0019</t>
  </si>
  <si>
    <t xml:space="preserve">Audit onboarding process  </t>
  </si>
  <si>
    <t xml:space="preserve">2024/08/16</t>
  </si>
  <si>
    <t xml:space="preserve">TSK-0290</t>
  </si>
  <si>
    <t xml:space="preserve">TSK-0156</t>
  </si>
  <si>
    <t xml:space="preserve">Test training material</t>
  </si>
  <si>
    <t xml:space="preserve">02/06/2024</t>
  </si>
  <si>
    <t xml:space="preserve">10/06/2024</t>
  </si>
  <si>
    <t xml:space="preserve">TSK-0057</t>
  </si>
  <si>
    <t xml:space="preserve">Document onboarding process</t>
  </si>
  <si>
    <t xml:space="preserve">2024-07-22</t>
  </si>
  <si>
    <t xml:space="preserve">2024-07-21</t>
  </si>
  <si>
    <t xml:space="preserve">TSK-0094</t>
  </si>
  <si>
    <t xml:space="preserve">Document network infrastructure  </t>
  </si>
  <si>
    <t xml:space="preserve">2024/02/06</t>
  </si>
  <si>
    <t xml:space="preserve">2024/03/06</t>
  </si>
  <si>
    <t xml:space="preserve">TSK-0013</t>
  </si>
  <si>
    <t xml:space="preserve">Develop quality checklist</t>
  </si>
  <si>
    <t xml:space="preserve">02/11/2024</t>
  </si>
  <si>
    <t xml:space="preserve">03/11/2024</t>
  </si>
  <si>
    <t xml:space="preserve">TSK-0066</t>
  </si>
  <si>
    <t xml:space="preserve">Review database schema</t>
  </si>
  <si>
    <t xml:space="preserve">27/02/2024</t>
  </si>
  <si>
    <t xml:space="preserve">09/03/2024</t>
  </si>
  <si>
    <t xml:space="preserve">07/03/2024</t>
  </si>
  <si>
    <t xml:space="preserve">TSK-0269</t>
  </si>
  <si>
    <t xml:space="preserve">2024/06/27</t>
  </si>
  <si>
    <t xml:space="preserve">2024/06/29</t>
  </si>
  <si>
    <t xml:space="preserve">TSK-0180</t>
  </si>
  <si>
    <t xml:space="preserve">Review supplier list</t>
  </si>
  <si>
    <t xml:space="preserve">05-13-2024</t>
  </si>
  <si>
    <t xml:space="preserve">TSK-0160</t>
  </si>
  <si>
    <t xml:space="preserve">24-Apr-2024</t>
  </si>
  <si>
    <t xml:space="preserve">23-Apr-2024</t>
  </si>
  <si>
    <t xml:space="preserve">TSK-0254</t>
  </si>
  <si>
    <t xml:space="preserve">Configure security policy</t>
  </si>
  <si>
    <t xml:space="preserve">TSK-0126</t>
  </si>
  <si>
    <t xml:space="preserve">Develop database schema</t>
  </si>
  <si>
    <t xml:space="preserve">07-07-2024</t>
  </si>
  <si>
    <t xml:space="preserve">07-11-2024</t>
  </si>
  <si>
    <t xml:space="preserve">TSK-0239</t>
  </si>
  <si>
    <t xml:space="preserve">18/02/2024</t>
  </si>
  <si>
    <t xml:space="preserve">TSK-0100</t>
  </si>
  <si>
    <t xml:space="preserve">Plan dashboard  </t>
  </si>
  <si>
    <t xml:space="preserve">25-Apr-2024</t>
  </si>
  <si>
    <t xml:space="preserve">TSK-0215</t>
  </si>
  <si>
    <t xml:space="preserve">Analyze training material</t>
  </si>
  <si>
    <t xml:space="preserve">02-May-2024</t>
  </si>
  <si>
    <t xml:space="preserve">07-May-2024</t>
  </si>
  <si>
    <t xml:space="preserve">TSK-0147</t>
  </si>
  <si>
    <t xml:space="preserve">Review vendor contract</t>
  </si>
  <si>
    <t xml:space="preserve">01/03/2024</t>
  </si>
  <si>
    <t xml:space="preserve">TSK-0232</t>
  </si>
  <si>
    <t xml:space="preserve">Audit supplier list</t>
  </si>
  <si>
    <t xml:space="preserve">2024/05/23</t>
  </si>
  <si>
    <t xml:space="preserve">2024/06/01</t>
  </si>
  <si>
    <t xml:space="preserve">2024/06/02</t>
  </si>
  <si>
    <t xml:space="preserve">TSK-0026</t>
  </si>
  <si>
    <t xml:space="preserve">Document API integration</t>
  </si>
  <si>
    <t xml:space="preserve">09-Jul-2024</t>
  </si>
  <si>
    <t xml:space="preserve">TSK-0050</t>
  </si>
  <si>
    <t xml:space="preserve">04-Jun-2024</t>
  </si>
  <si>
    <t xml:space="preserve">TSK-0028</t>
  </si>
  <si>
    <t xml:space="preserve">Train users on supplier list</t>
  </si>
  <si>
    <t xml:space="preserve">14-Nov-2024</t>
  </si>
  <si>
    <t xml:space="preserve">TSK-0052</t>
  </si>
  <si>
    <t xml:space="preserve">TSK-0009</t>
  </si>
  <si>
    <t xml:space="preserve">17/08/2024</t>
  </si>
  <si>
    <t xml:space="preserve">26/08/2024</t>
  </si>
  <si>
    <t xml:space="preserve">28/08/2024</t>
  </si>
  <si>
    <t xml:space="preserve">TSK-0224</t>
  </si>
  <si>
    <t xml:space="preserve">26-Apr-2024</t>
  </si>
  <si>
    <t xml:space="preserve">TSK-0312</t>
  </si>
  <si>
    <t xml:space="preserve">12/07/2024</t>
  </si>
  <si>
    <t xml:space="preserve">TSK-0034</t>
  </si>
  <si>
    <t xml:space="preserve">Design server configuration</t>
  </si>
  <si>
    <t xml:space="preserve">10-06-2024</t>
  </si>
  <si>
    <t xml:space="preserve">11-08-2024</t>
  </si>
  <si>
    <t xml:space="preserve">TSK-0214</t>
  </si>
  <si>
    <t xml:space="preserve">Configure training material</t>
  </si>
  <si>
    <t xml:space="preserve">2024-03-18</t>
  </si>
  <si>
    <t xml:space="preserve">2024-03-30</t>
  </si>
  <si>
    <t xml:space="preserve">TSK-0012</t>
  </si>
  <si>
    <t xml:space="preserve">09-14-2024</t>
  </si>
  <si>
    <t xml:space="preserve">09-11-2024</t>
  </si>
  <si>
    <t xml:space="preserve">TSK-0018</t>
  </si>
  <si>
    <t xml:space="preserve">Migrate vendor contract</t>
  </si>
  <si>
    <t xml:space="preserve">2024/09/13</t>
  </si>
  <si>
    <t xml:space="preserve">2024/09/29</t>
  </si>
  <si>
    <t xml:space="preserve">TSK-0169</t>
  </si>
  <si>
    <t xml:space="preserve">2024/05/06</t>
  </si>
  <si>
    <t xml:space="preserve">2024/05/18</t>
  </si>
  <si>
    <t xml:space="preserve">TSK-0134</t>
  </si>
  <si>
    <t xml:space="preserve">2024-09-08</t>
  </si>
  <si>
    <t xml:space="preserve">2024-09-22</t>
  </si>
  <si>
    <t xml:space="preserve">TSK-0025</t>
  </si>
  <si>
    <t xml:space="preserve">Develop security policy</t>
  </si>
  <si>
    <t xml:space="preserve">24-Jul-2024</t>
  </si>
  <si>
    <t xml:space="preserve">TSK-0246</t>
  </si>
  <si>
    <t xml:space="preserve">Deploy employee handbook</t>
  </si>
  <si>
    <t xml:space="preserve">13-May-2024</t>
  </si>
  <si>
    <t xml:space="preserve">06-Jun-2024</t>
  </si>
  <si>
    <t xml:space="preserve">TSK-0258</t>
  </si>
  <si>
    <t xml:space="preserve">2024-07-16</t>
  </si>
  <si>
    <t xml:space="preserve">2024-08-13</t>
  </si>
  <si>
    <t xml:space="preserve">2024-08-15</t>
  </si>
  <si>
    <t xml:space="preserve">TSK-0105</t>
  </si>
  <si>
    <t xml:space="preserve">Review security policy</t>
  </si>
  <si>
    <t xml:space="preserve">25/03/2024</t>
  </si>
  <si>
    <t xml:space="preserve">24/04/2024</t>
  </si>
  <si>
    <t xml:space="preserve">22/04/2024</t>
  </si>
  <si>
    <t xml:space="preserve">TSK-0274</t>
  </si>
  <si>
    <t xml:space="preserve">Audit network infrastructure</t>
  </si>
  <si>
    <t xml:space="preserve">2024/05/30</t>
  </si>
  <si>
    <t xml:space="preserve">TSK-0073</t>
  </si>
  <si>
    <t xml:space="preserve">2024/11/15</t>
  </si>
  <si>
    <t xml:space="preserve">2024/11/25</t>
  </si>
  <si>
    <t xml:space="preserve">TSK-0157</t>
  </si>
  <si>
    <t xml:space="preserve">Migrate customer feedback survey</t>
  </si>
  <si>
    <t xml:space="preserve">03-May-2024</t>
  </si>
  <si>
    <t xml:space="preserve">TSK-0040</t>
  </si>
  <si>
    <t xml:space="preserve">18-Nov-2024</t>
  </si>
  <si>
    <t xml:space="preserve">03-Dec-2024</t>
  </si>
  <si>
    <t xml:space="preserve">TSK-0099</t>
  </si>
  <si>
    <t xml:space="preserve">Test supplier list</t>
  </si>
  <si>
    <t xml:space="preserve"> Yasmin El-Sayed </t>
  </si>
  <si>
    <t xml:space="preserve">06-21-2024</t>
  </si>
  <si>
    <t xml:space="preserve">TSK-0197</t>
  </si>
  <si>
    <t xml:space="preserve">2024-06-14</t>
  </si>
  <si>
    <t xml:space="preserve">TSK-0311</t>
  </si>
  <si>
    <t xml:space="preserve">Approve inventory system</t>
  </si>
  <si>
    <t xml:space="preserve">26-Jul-2024</t>
  </si>
  <si>
    <t xml:space="preserve">10-Aug-2024</t>
  </si>
  <si>
    <t xml:space="preserve">08-Aug-2024</t>
  </si>
  <si>
    <t xml:space="preserve">TSK-0175</t>
  </si>
  <si>
    <t xml:space="preserve">Optimize network infrastructure</t>
  </si>
  <si>
    <t xml:space="preserve">05-Mar-2024</t>
  </si>
  <si>
    <t xml:space="preserve">19-Mar-2024</t>
  </si>
  <si>
    <t xml:space="preserve">TSK-0268</t>
  </si>
  <si>
    <t xml:space="preserve">08-18-2024</t>
  </si>
  <si>
    <t xml:space="preserve">08-30-2024</t>
  </si>
  <si>
    <t xml:space="preserve">TSK-0049</t>
  </si>
  <si>
    <t xml:space="preserve">Deploy budget report</t>
  </si>
  <si>
    <t xml:space="preserve">2024/06/26</t>
  </si>
  <si>
    <t xml:space="preserve">TSK-0199</t>
  </si>
  <si>
    <t xml:space="preserve">TSK-0033</t>
  </si>
  <si>
    <t xml:space="preserve">Install warehouse layout</t>
  </si>
  <si>
    <t xml:space="preserve">07/10/2024</t>
  </si>
  <si>
    <t xml:space="preserve">TSK-0165</t>
  </si>
  <si>
    <t xml:space="preserve">Plan supplier list</t>
  </si>
  <si>
    <t xml:space="preserve">03/08/2024</t>
  </si>
  <si>
    <t xml:space="preserve">TSK-0123</t>
  </si>
  <si>
    <t xml:space="preserve">05-08-2024</t>
  </si>
  <si>
    <t xml:space="preserve">06-02-2024</t>
  </si>
  <si>
    <t xml:space="preserve">TSK-0187</t>
  </si>
  <si>
    <t xml:space="preserve">Develop hardware setup</t>
  </si>
  <si>
    <t xml:space="preserve">03-Mar-2024</t>
  </si>
  <si>
    <t xml:space="preserve">TSK-0010</t>
  </si>
  <si>
    <t xml:space="preserve">2024-11-05</t>
  </si>
  <si>
    <t xml:space="preserve">2024-11-06</t>
  </si>
  <si>
    <t xml:space="preserve">TSK-0095</t>
  </si>
  <si>
    <t xml:space="preserve">Design onboarding process  </t>
  </si>
  <si>
    <t xml:space="preserve">2024/06/05</t>
  </si>
  <si>
    <t xml:space="preserve">TSK-0195</t>
  </si>
  <si>
    <t xml:space="preserve">Test warehouse layout</t>
  </si>
  <si>
    <t xml:space="preserve">23-Aug-2024</t>
  </si>
  <si>
    <t xml:space="preserve">29-Aug-2024</t>
  </si>
  <si>
    <t xml:space="preserve">TSK-0260</t>
  </si>
  <si>
    <t xml:space="preserve">TSK-0001</t>
  </si>
  <si>
    <t xml:space="preserve">Configure employee handbook</t>
  </si>
  <si>
    <t xml:space="preserve">11-Oct-2024</t>
  </si>
  <si>
    <t xml:space="preserve">29-Oct-2024</t>
  </si>
  <si>
    <t xml:space="preserve">TSK-0233</t>
  </si>
  <si>
    <t xml:space="preserve">Plan backup procedure  </t>
  </si>
  <si>
    <t xml:space="preserve">04-13-2024</t>
  </si>
  <si>
    <t xml:space="preserve">TSK-0188</t>
  </si>
  <si>
    <t xml:space="preserve">06-24-2024</t>
  </si>
  <si>
    <t xml:space="preserve">07-13-2024</t>
  </si>
  <si>
    <t xml:space="preserve">07-14-2024</t>
  </si>
  <si>
    <t xml:space="preserve">TSK-0135</t>
  </si>
  <si>
    <t xml:space="preserve">2024-08-27</t>
  </si>
  <si>
    <t xml:space="preserve">TSK-0152</t>
  </si>
  <si>
    <t xml:space="preserve">Approve backup procedure</t>
  </si>
  <si>
    <t xml:space="preserve">TSK-0231</t>
  </si>
  <si>
    <t xml:space="preserve">04-18-2024</t>
  </si>
  <si>
    <t xml:space="preserve">TSK-0314</t>
  </si>
  <si>
    <t xml:space="preserve">Analyze dashboard  </t>
  </si>
  <si>
    <t xml:space="preserve">13-Jun-2024</t>
  </si>
  <si>
    <t xml:space="preserve">TSK-0272</t>
  </si>
  <si>
    <t xml:space="preserve">03-22-2024</t>
  </si>
  <si>
    <t xml:space="preserve">04-20-2024</t>
  </si>
  <si>
    <t xml:space="preserve">TSK-0036</t>
  </si>
  <si>
    <t xml:space="preserve">01/11/2024</t>
  </si>
  <si>
    <t xml:space="preserve">12/11/2024</t>
  </si>
  <si>
    <t xml:space="preserve">18/11/2024</t>
  </si>
  <si>
    <t xml:space="preserve">TSK-0083</t>
  </si>
  <si>
    <t xml:space="preserve">Configure backup procedure</t>
  </si>
  <si>
    <t xml:space="preserve">2024/11/10</t>
  </si>
  <si>
    <t xml:space="preserve">2024/12/08</t>
  </si>
  <si>
    <t xml:space="preserve">2024/12/10</t>
  </si>
  <si>
    <t xml:space="preserve">TSK-0141</t>
  </si>
  <si>
    <t xml:space="preserve">05/06/2024</t>
  </si>
  <si>
    <t xml:space="preserve">25/06/2024</t>
  </si>
  <si>
    <t xml:space="preserve">TSK-0240</t>
  </si>
  <si>
    <t xml:space="preserve">04-29-2024</t>
  </si>
  <si>
    <t xml:space="preserve">04-30-2024</t>
  </si>
  <si>
    <t xml:space="preserve">TSK-0166</t>
  </si>
  <si>
    <t xml:space="preserve">2024/04/18</t>
  </si>
  <si>
    <t xml:space="preserve">2024/05/01</t>
  </si>
  <si>
    <t xml:space="preserve">TSK-0179</t>
  </si>
  <si>
    <t xml:space="preserve">06-Apr-2024</t>
  </si>
  <si>
    <t xml:space="preserve">30-Apr-2024</t>
  </si>
  <si>
    <t xml:space="preserve">TSK-0096</t>
  </si>
  <si>
    <t xml:space="preserve">04-06-2024</t>
  </si>
  <si>
    <t xml:space="preserve">04-16-2024</t>
  </si>
  <si>
    <t xml:space="preserve">TSK-0098</t>
  </si>
  <si>
    <t xml:space="preserve">Migrate marketing collateral</t>
  </si>
  <si>
    <t xml:space="preserve">2024-05-09</t>
  </si>
  <si>
    <t xml:space="preserve">TSK-0251</t>
  </si>
  <si>
    <t xml:space="preserve">01-May-2024</t>
  </si>
  <si>
    <t xml:space="preserve">TSK-0278</t>
  </si>
  <si>
    <t xml:space="preserve">2024/01/13</t>
  </si>
  <si>
    <t xml:space="preserve">2024/02/01</t>
  </si>
  <si>
    <t xml:space="preserve">2024/01/30</t>
  </si>
  <si>
    <t xml:space="preserve">TSK-0151</t>
  </si>
  <si>
    <t xml:space="preserve">07-Apr-2024</t>
  </si>
  <si>
    <t xml:space="preserve">28-Apr-2024</t>
  </si>
  <si>
    <t xml:space="preserve">TSK-0294</t>
  </si>
  <si>
    <t xml:space="preserve">16/08/2024</t>
  </si>
  <si>
    <t xml:space="preserve">05/09/2024</t>
  </si>
  <si>
    <t xml:space="preserve">TSK-0249</t>
  </si>
  <si>
    <t xml:space="preserve">2024-06-02</t>
  </si>
  <si>
    <t xml:space="preserve">TSK-0021</t>
  </si>
  <si>
    <t xml:space="preserve">Test dashboard</t>
  </si>
  <si>
    <t xml:space="preserve">01-Oct-2024</t>
  </si>
  <si>
    <t xml:space="preserve">TSK-0129</t>
  </si>
  <si>
    <t xml:space="preserve">Audit warehouse layout  </t>
  </si>
  <si>
    <t xml:space="preserve">TSK-0069</t>
  </si>
  <si>
    <t xml:space="preserve">2024/11/18</t>
  </si>
  <si>
    <t xml:space="preserve">TSK-0184</t>
  </si>
  <si>
    <t xml:space="preserve">Design quality checklist</t>
  </si>
  <si>
    <t xml:space="preserve">2024-04-15</t>
  </si>
  <si>
    <t xml:space="preserve">TSK-0194</t>
  </si>
  <si>
    <t xml:space="preserve">Develop network infrastructure</t>
  </si>
  <si>
    <t xml:space="preserve">20-Jun-2024</t>
  </si>
  <si>
    <t xml:space="preserve">23-Jun-2024</t>
  </si>
  <si>
    <t xml:space="preserve">TSK-0011</t>
  </si>
  <si>
    <t xml:space="preserve">2024/07/14</t>
  </si>
  <si>
    <t xml:space="preserve">TSK-0225</t>
  </si>
  <si>
    <t xml:space="preserve">2024-05-31</t>
  </si>
  <si>
    <t xml:space="preserve">2024-06-05</t>
  </si>
  <si>
    <t xml:space="preserve">TSK-0178</t>
  </si>
  <si>
    <t xml:space="preserve">TSK-0286</t>
  </si>
  <si>
    <t xml:space="preserve">14/04/2024</t>
  </si>
  <si>
    <t xml:space="preserve">06/05/2024</t>
  </si>
  <si>
    <t xml:space="preserve">TSK-0163</t>
  </si>
  <si>
    <t xml:space="preserve">2024-06-28</t>
  </si>
  <si>
    <t xml:space="preserve">2024-07-04</t>
  </si>
  <si>
    <t xml:space="preserve">TSK-0120</t>
  </si>
  <si>
    <t xml:space="preserve">Deploy server configuration</t>
  </si>
  <si>
    <t xml:space="preserve">2024-05-03</t>
  </si>
  <si>
    <t xml:space="preserve">TSK-0250</t>
  </si>
  <si>
    <t xml:space="preserve">Analyze vendor contract</t>
  </si>
  <si>
    <t xml:space="preserve"> Khaled Younes </t>
  </si>
  <si>
    <t xml:space="preserve">02-22-2024</t>
  </si>
  <si>
    <t xml:space="preserve">02-28-2024</t>
  </si>
  <si>
    <t xml:space="preserve">03-01-2024</t>
  </si>
  <si>
    <t xml:space="preserve">TSK-0065</t>
  </si>
  <si>
    <t xml:space="preserve">Configure budget report</t>
  </si>
  <si>
    <t xml:space="preserve">07/04/2024</t>
  </si>
  <si>
    <t xml:space="preserve">TSK-0055</t>
  </si>
  <si>
    <t xml:space="preserve">Approve customer feedback survey</t>
  </si>
  <si>
    <t xml:space="preserve">2024/07/20</t>
  </si>
  <si>
    <t xml:space="preserve">2024/08/13</t>
  </si>
  <si>
    <t xml:space="preserve">TSK-0275</t>
  </si>
  <si>
    <t xml:space="preserve"> Fady Hosny </t>
  </si>
  <si>
    <t xml:space="preserve">TSK-0079</t>
  </si>
  <si>
    <t xml:space="preserve">Approve server configuration</t>
  </si>
  <si>
    <t xml:space="preserve">22-Sep-2024</t>
  </si>
  <si>
    <t xml:space="preserve">27-Sep-2024</t>
  </si>
  <si>
    <t xml:space="preserve">TSK-0183</t>
  </si>
  <si>
    <t xml:space="preserve">2024-03-05</t>
  </si>
  <si>
    <t xml:space="preserve">2024-03-25</t>
  </si>
  <si>
    <t xml:space="preserve">2024-03-26</t>
  </si>
  <si>
    <t xml:space="preserve">TSK-0031</t>
  </si>
  <si>
    <t xml:space="preserve">2024-08-03</t>
  </si>
  <si>
    <t xml:space="preserve">2024-08-28</t>
  </si>
  <si>
    <t xml:space="preserve">TSK-0174</t>
  </si>
  <si>
    <t xml:space="preserve">2024/05/25</t>
  </si>
  <si>
    <t xml:space="preserve">TSK-0047</t>
  </si>
  <si>
    <t xml:space="preserve">03/07/2024</t>
  </si>
  <si>
    <t xml:space="preserve">26/07/2024</t>
  </si>
  <si>
    <t xml:space="preserve">TSK-0256</t>
  </si>
  <si>
    <t xml:space="preserve">Audit marketing collateral  </t>
  </si>
  <si>
    <t xml:space="preserve">08/05/2024</t>
  </si>
  <si>
    <t xml:space="preserve">05/05/2024</t>
  </si>
  <si>
    <t xml:space="preserve">TSK-0081</t>
  </si>
  <si>
    <t xml:space="preserve">Migrate backup procedure  </t>
  </si>
  <si>
    <t xml:space="preserve">2024/10/18</t>
  </si>
  <si>
    <t xml:space="preserve">2024/11/14</t>
  </si>
  <si>
    <t xml:space="preserve">TSK-0128</t>
  </si>
  <si>
    <t xml:space="preserve">Procure server configuration</t>
  </si>
  <si>
    <t xml:space="preserve">11-Jul-2024</t>
  </si>
  <si>
    <t xml:space="preserve">19-Jul-2024</t>
  </si>
  <si>
    <t xml:space="preserve">TSK-0046</t>
  </si>
  <si>
    <t xml:space="preserve">07-16-2024</t>
  </si>
  <si>
    <t xml:space="preserve">TSK-0191</t>
  </si>
  <si>
    <t xml:space="preserve">2024/06/28</t>
  </si>
  <si>
    <t xml:space="preserve">TSK-0080</t>
  </si>
  <si>
    <t xml:space="preserve">11-04-2024</t>
  </si>
  <si>
    <t xml:space="preserve">11-23-2024</t>
  </si>
  <si>
    <t xml:space="preserve">TSK-0306</t>
  </si>
  <si>
    <t xml:space="preserve">2024/07/16</t>
  </si>
  <si>
    <t xml:space="preserve">2024/07/22</t>
  </si>
  <si>
    <t xml:space="preserve">TSK-0244</t>
  </si>
  <si>
    <t xml:space="preserve">2024-02-28</t>
  </si>
  <si>
    <t xml:space="preserve">TSK-0298</t>
  </si>
  <si>
    <t xml:space="preserve">Design security policy</t>
  </si>
  <si>
    <t xml:space="preserve">2024-08-01</t>
  </si>
  <si>
    <t xml:space="preserve">2024-08-07</t>
  </si>
  <si>
    <t xml:space="preserve">TSK-0022</t>
  </si>
  <si>
    <t xml:space="preserve">Install user interface</t>
  </si>
  <si>
    <t xml:space="preserve">2024/08/31</t>
  </si>
  <si>
    <t xml:space="preserve">TSK-0005</t>
  </si>
  <si>
    <t xml:space="preserve">Install employee handbook</t>
  </si>
  <si>
    <t xml:space="preserve">2024-07-17</t>
  </si>
  <si>
    <t xml:space="preserve">2024-08-02</t>
  </si>
  <si>
    <t xml:space="preserve">TSK-0125</t>
  </si>
  <si>
    <t xml:space="preserve">TSK-0203</t>
  </si>
  <si>
    <t xml:space="preserve">Document database schema</t>
  </si>
  <si>
    <t xml:space="preserve">2024/08/03</t>
  </si>
  <si>
    <t xml:space="preserve">TSK-0062</t>
  </si>
  <si>
    <t xml:space="preserve">Review network infrastructure  </t>
  </si>
  <si>
    <t xml:space="preserve"> Yasmin Zaki </t>
  </si>
  <si>
    <t xml:space="preserve">16-May-2024</t>
  </si>
  <si>
    <t xml:space="preserve">TSK-0300</t>
  </si>
  <si>
    <t xml:space="preserve">08-31-2024</t>
  </si>
  <si>
    <t xml:space="preserve">09-24-2024</t>
  </si>
  <si>
    <t xml:space="preserve">TSK-0142</t>
  </si>
  <si>
    <t xml:space="preserve">22/09/2024</t>
  </si>
  <si>
    <t xml:space="preserve">02/10/2024</t>
  </si>
  <si>
    <t xml:space="preserve">TSK-0086</t>
  </si>
  <si>
    <t xml:space="preserve">Audit employee handbook</t>
  </si>
  <si>
    <t xml:space="preserve">2024-09-19</t>
  </si>
  <si>
    <t xml:space="preserve">2024-10-01</t>
  </si>
  <si>
    <t xml:space="preserve">TSK-0008</t>
  </si>
  <si>
    <t xml:space="preserve">Approve vendor contract</t>
  </si>
  <si>
    <t xml:space="preserve">29/06/2024</t>
  </si>
  <si>
    <t xml:space="preserve">21/07/2024</t>
  </si>
  <si>
    <t xml:space="preserve">TSK-0167</t>
  </si>
  <si>
    <t xml:space="preserve">2024/06/23</t>
  </si>
  <si>
    <t xml:space="preserve">TSK-0223</t>
  </si>
  <si>
    <t xml:space="preserve">Design training material</t>
  </si>
  <si>
    <t xml:space="preserve">2024/03/12</t>
  </si>
  <si>
    <t xml:space="preserve">TSK-0121</t>
  </si>
  <si>
    <t xml:space="preserve">07-10-2024</t>
  </si>
  <si>
    <t xml:space="preserve">07-23-2024</t>
  </si>
  <si>
    <t xml:space="preserve">Note: this sheet is the RAW export on purpose — inconsistent text, mixed date formats, duplicates, blanks and a few test rows are intentional. Do not edit it; clean it in Power Query.</t>
  </si>
  <si>
    <t xml:space="preserve">Planned_Duration_Days</t>
  </si>
  <si>
    <t xml:space="preserve">Delay_Days</t>
  </si>
  <si>
    <t xml:space="preserve">Start_Date.1</t>
  </si>
  <si>
    <t xml:space="preserve">Cost_Variance</t>
  </si>
  <si>
    <t xml:space="preserve">Cost_Variance_%</t>
  </si>
  <si>
    <t xml:space="preserve">On_Time_Flag</t>
  </si>
  <si>
    <t xml:space="preserve">Task_Age_Category</t>
  </si>
  <si>
    <t xml:space="preserve">Manager_Lookup</t>
  </si>
  <si>
    <t xml:space="preserve">Delay_Message</t>
  </si>
  <si>
    <t xml:space="preserve">Delayed Tasks</t>
  </si>
  <si>
    <t xml:space="preserve">Completed Cost</t>
  </si>
  <si>
    <t xml:space="preserve">Migrate API integration</t>
  </si>
  <si>
    <t xml:space="preserve">Test marketing collateral</t>
  </si>
  <si>
    <t xml:space="preserve">Optimize customer feedback survey</t>
  </si>
  <si>
    <t xml:space="preserve">Avg Delay (Completed)</t>
  </si>
  <si>
    <t xml:space="preserve">Avg Delay (Delayed)</t>
  </si>
  <si>
    <t xml:space="preserve">Not Set</t>
  </si>
  <si>
    <t xml:space="preserve">Train users on employee handbook</t>
  </si>
  <si>
    <t xml:space="preserve">Plan server configuration</t>
  </si>
  <si>
    <t xml:space="preserve">Train users on dashboard</t>
  </si>
  <si>
    <t xml:space="preserve">Install backup procedure</t>
  </si>
  <si>
    <t xml:space="preserve">Design user interface</t>
  </si>
  <si>
    <t xml:space="preserve">Audit onboarding process</t>
  </si>
  <si>
    <t xml:space="preserve">Document network infrastructure</t>
  </si>
  <si>
    <t xml:space="preserve">Plan dashboard</t>
  </si>
  <si>
    <t xml:space="preserve">Analyze dashboard</t>
  </si>
  <si>
    <t xml:space="preserve">Cost_Variance = Actual_Cost - Planned_Cost</t>
  </si>
  <si>
    <t xml:space="preserve">Build your PivotTables here (see Instructions, Part 3).</t>
  </si>
  <si>
    <t xml:space="preserve">Sum of Planned_Cost</t>
  </si>
  <si>
    <t xml:space="preserve">Sum of Actual_Cost</t>
  </si>
  <si>
    <t xml:space="preserve">Total Result</t>
  </si>
  <si>
    <t xml:space="preserve">Count of Task_ID</t>
  </si>
  <si>
    <t xml:space="preserve">Column Labels</t>
  </si>
  <si>
    <t xml:space="preserve">Total Total Planned Cost</t>
  </si>
  <si>
    <t xml:space="preserve">Total Total Actual Cost</t>
  </si>
  <si>
    <t xml:space="preserve">Total Cost Variance</t>
  </si>
  <si>
    <t xml:space="preserve">Row Labels</t>
  </si>
  <si>
    <t xml:space="preserve">Total Planned Cost</t>
  </si>
  <si>
    <t xml:space="preserve">Total Actual Cost</t>
  </si>
  <si>
    <t xml:space="preserve">Cost Variance</t>
  </si>
  <si>
    <t xml:space="preserve">Grand Total</t>
  </si>
  <si>
    <t xml:space="preserve">Total Actual Cost:</t>
  </si>
  <si>
    <t xml:space="preserve">Completed Cost :</t>
  </si>
</sst>
</file>

<file path=xl/styles.xml><?xml version="1.0" encoding="utf-8"?>
<styleSheet xmlns="http://schemas.openxmlformats.org/spreadsheetml/2006/main">
  <numFmts count="9">
    <numFmt numFmtId="164" formatCode="\$#,##0.0"/>
    <numFmt numFmtId="165" formatCode="\$#,##0"/>
    <numFmt numFmtId="166" formatCode="General"/>
    <numFmt numFmtId="167" formatCode="\$#,##0"/>
    <numFmt numFmtId="168" formatCode="yyyy\-mm\-dd"/>
    <numFmt numFmtId="169" formatCode="m/d/yyyy"/>
    <numFmt numFmtId="170" formatCode="\$#,##0;&quot;($&quot;#,##0\);\$#,##0"/>
    <numFmt numFmtId="171" formatCode="\$#,##0.00"/>
    <numFmt numFmtId="172" formatCode="_(\$* #,##0.00_);_(\$* \(#,##0.00\);_(\$* \-??_);_(@_)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FFFFFF"/>
      <name val="Arial"/>
      <family val="0"/>
      <charset val="1"/>
    </font>
    <font>
      <sz val="10.5"/>
      <color rgb="FF262626"/>
      <name val="Arial"/>
      <family val="0"/>
      <charset val="1"/>
    </font>
    <font>
      <i val="true"/>
      <sz val="9.5"/>
      <color rgb="FFC00000"/>
      <name val="Arial"/>
      <family val="0"/>
      <charset val="1"/>
    </font>
    <font>
      <sz val="8"/>
      <color theme="1"/>
      <name val="Segoe UI"/>
      <family val="2"/>
      <charset val="1"/>
    </font>
    <font>
      <sz val="10"/>
      <color theme="1"/>
      <name val="Arial Unicode MS"/>
      <family val="0"/>
      <charset val="1"/>
    </font>
    <font>
      <i val="true"/>
      <sz val="12"/>
      <color rgb="FF808080"/>
      <name val="Arial"/>
      <family val="0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4"/>
      <color rgb="FF000000"/>
      <name val="Calibri"/>
      <family val="2"/>
    </font>
    <font>
      <sz val="9"/>
      <color rgb="FF000000"/>
      <name val="Calibri"/>
      <family val="2"/>
    </font>
    <font>
      <sz val="11"/>
      <name val="Times New Roman"/>
      <family val="1"/>
    </font>
    <font>
      <sz val="9"/>
      <color rgb="FF808080"/>
      <name val="Calibri"/>
      <family val="2"/>
    </font>
    <font>
      <sz val="16"/>
      <color theme="0"/>
      <name val="Calibri"/>
      <family val="2"/>
      <charset val="1"/>
    </font>
    <font>
      <sz val="20"/>
      <color theme="0"/>
      <name val="Calibri"/>
      <family val="2"/>
      <charset val="1"/>
    </font>
    <font>
      <sz val="14"/>
      <color theme="0"/>
      <name val="Calibri"/>
      <family val="2"/>
      <charset val="1"/>
    </font>
    <font>
      <sz val="18"/>
      <color rgb="FFB0E4CC"/>
      <name val="Calibri"/>
      <family val="2"/>
    </font>
    <font>
      <sz val="9"/>
      <color rgb="FFFFFFFF"/>
      <name val="Calibri"/>
      <family val="2"/>
    </font>
    <font>
      <sz val="8"/>
      <color rgb="FFFFFFFF"/>
      <name val="Calibri"/>
      <family val="2"/>
    </font>
    <font>
      <sz val="18"/>
      <color theme="0"/>
      <name val="Calibri"/>
      <family val="0"/>
    </font>
    <font>
      <sz val="11"/>
      <color theme="0"/>
      <name val="Calibri"/>
      <family val="0"/>
    </font>
    <font>
      <sz val="18"/>
      <color rgb="FFB0E4CC"/>
      <name val="Calibri"/>
      <family val="0"/>
    </font>
    <font>
      <sz val="10.5"/>
      <color rgb="FFB0E4CC"/>
      <name val="Calibri"/>
      <family val="0"/>
    </font>
    <font>
      <sz val="11"/>
      <color rgb="FFB0E4CC"/>
      <name val="Calibri"/>
      <family val="0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262626"/>
      </patternFill>
    </fill>
    <fill>
      <patternFill patternType="solid">
        <fgColor rgb="FFF2F2F2"/>
        <bgColor rgb="FFFFFFFF"/>
      </patternFill>
    </fill>
    <fill>
      <patternFill patternType="solid">
        <fgColor rgb="FF091413"/>
        <bgColor rgb="FF000000"/>
      </patternFill>
    </fill>
  </fills>
  <borders count="4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 style="thin">
        <color rgb="FFBFBFBF"/>
      </right>
      <top/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 diagonalUp="false" diagonalDown="false">
      <left style="thin">
        <color rgb="FFBFBFBF"/>
      </left>
      <right/>
      <top/>
      <bottom style="thin">
        <color rgb="FFBFBFBF"/>
      </bottom>
      <diagonal/>
    </border>
    <border diagonalUp="false" diagonalDown="false">
      <left/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/>
      <right style="thin">
        <color rgb="FFBFBFBF"/>
      </right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 style="thin"/>
      <diagonal/>
    </border>
  </borders>
  <cellStyleXfs count="26"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left" vertical="bottom" textRotation="0" wrapText="false" indent="0" shrinkToFit="false"/>
    </xf>
    <xf numFmtId="166" fontId="4" fillId="0" borderId="0" applyFont="true" applyBorder="false" applyAlignment="true" applyProtection="false">
      <alignment horizontal="left" vertical="bottom" textRotation="0" wrapText="false" indent="0" shrinkToFit="false"/>
    </xf>
    <xf numFmtId="166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3"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3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8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9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3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3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3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3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3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3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3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3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3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3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3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4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4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4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4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6" fontId="0" fillId="4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8" fillId="4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1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8" fillId="4" borderId="0" xfId="17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626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numFmt numFmtId="164" formatCode="\$#,##0.0"/>
    </dxf>
    <dxf>
      <numFmt numFmtId="165" formatCode="\$#,##0"/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3B6426"/>
      <rgbColor rgb="FF000080"/>
      <rgbColor rgb="FF77933C"/>
      <rgbColor rgb="FF800080"/>
      <rgbColor rgb="FF008080"/>
      <rgbColor rgb="FFBFBFBF"/>
      <rgbColor rgb="FF808080"/>
      <rgbColor rgb="FF9999FF"/>
      <rgbColor rgb="FFC0504D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0E4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1F3864"/>
      <rgbColor rgb="FF408A71"/>
      <rgbColor rgb="FF091413"/>
      <rgbColor rgb="FF285A48"/>
      <rgbColor rgb="FF993300"/>
      <rgbColor rgb="FF993366"/>
      <rgbColor rgb="FF59595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12" Type="http://schemas.openxmlformats.org/officeDocument/2006/relationships/customXml" Target="../customXml/item1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_rels/chart10.xml.rels><?xml version="1.0" encoding="UTF-8"?>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Planned</a:t>
            </a:r>
            <a:r>
              <a:rPr lang="en-US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 vs Actual Cost  per Project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PivotTables!$C$5</c:f>
              <c:strCache>
                <c:ptCount val="1"/>
                <c:pt idx="0">
                  <c:v>Sum of Planned_Cost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PivotTables!$B$6:$B$21</c:f>
              <c:strCache>
                <c:ptCount val="16"/>
                <c:pt idx="0">
                  <c:v>Brand Refresh Campaign</c:v>
                </c:pt>
                <c:pt idx="1">
                  <c:v>Cloud Migration</c:v>
                </c:pt>
                <c:pt idx="2">
                  <c:v>CRM Migration</c:v>
                </c:pt>
                <c:pt idx="3">
                  <c:v>Customer Portal Upgrade</c:v>
                </c:pt>
                <c:pt idx="4">
                  <c:v>Data Center Upgrade</c:v>
                </c:pt>
                <c:pt idx="5">
                  <c:v>ERP System Rollout</c:v>
                </c:pt>
                <c:pt idx="6">
                  <c:v>HR System Implementation</c:v>
                </c:pt>
                <c:pt idx="7">
                  <c:v>Mobile App Launch</c:v>
                </c:pt>
                <c:pt idx="8">
                  <c:v>Network Security Overhaul</c:v>
                </c:pt>
                <c:pt idx="9">
                  <c:v>Office Relocation</c:v>
                </c:pt>
                <c:pt idx="10">
                  <c:v>Product Line Expansion</c:v>
                </c:pt>
                <c:pt idx="11">
                  <c:v>Retail Store Opening</c:v>
                </c:pt>
                <c:pt idx="12">
                  <c:v>Supply Chain Optimization</c:v>
                </c:pt>
                <c:pt idx="13">
                  <c:v>Warehouse Automation</c:v>
                </c:pt>
                <c:pt idx="14">
                  <c:v>Website Redesign</c:v>
                </c:pt>
                <c:pt idx="15">
                  <c:v>Total Result</c:v>
                </c:pt>
              </c:strCache>
            </c:strRef>
          </c:cat>
          <c:val>
            <c:numRef>
              <c:f>PivotTables!$C$6:$C$21</c:f>
              <c:numCache>
                <c:formatCode>General</c:formatCode>
                <c:ptCount val="16"/>
                <c:pt idx="0">
                  <c:v>70000</c:v>
                </c:pt>
                <c:pt idx="1">
                  <c:v>66000</c:v>
                </c:pt>
                <c:pt idx="2">
                  <c:v>109500</c:v>
                </c:pt>
                <c:pt idx="3">
                  <c:v>85500</c:v>
                </c:pt>
                <c:pt idx="4">
                  <c:v>90000</c:v>
                </c:pt>
                <c:pt idx="5">
                  <c:v>97500</c:v>
                </c:pt>
                <c:pt idx="6">
                  <c:v>106000</c:v>
                </c:pt>
                <c:pt idx="7">
                  <c:v>98000</c:v>
                </c:pt>
                <c:pt idx="8">
                  <c:v>94000</c:v>
                </c:pt>
                <c:pt idx="9">
                  <c:v>93000</c:v>
                </c:pt>
                <c:pt idx="10">
                  <c:v>77500</c:v>
                </c:pt>
                <c:pt idx="11">
                  <c:v>93000</c:v>
                </c:pt>
                <c:pt idx="12">
                  <c:v>74000</c:v>
                </c:pt>
                <c:pt idx="13">
                  <c:v>78500</c:v>
                </c:pt>
                <c:pt idx="14">
                  <c:v>50000</c:v>
                </c:pt>
                <c:pt idx="15">
                  <c:v>1282500</c:v>
                </c:pt>
              </c:numCache>
            </c:numRef>
          </c:val>
        </c:ser>
        <c:ser>
          <c:idx val="1"/>
          <c:order val="1"/>
          <c:tx>
            <c:strRef>
              <c:f>PivotTables!$D$5</c:f>
              <c:strCache>
                <c:ptCount val="1"/>
                <c:pt idx="0">
                  <c:v>Sum of Actual_Cost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PivotTables!$B$6:$B$21</c:f>
              <c:strCache>
                <c:ptCount val="16"/>
                <c:pt idx="0">
                  <c:v>Brand Refresh Campaign</c:v>
                </c:pt>
                <c:pt idx="1">
                  <c:v>Cloud Migration</c:v>
                </c:pt>
                <c:pt idx="2">
                  <c:v>CRM Migration</c:v>
                </c:pt>
                <c:pt idx="3">
                  <c:v>Customer Portal Upgrade</c:v>
                </c:pt>
                <c:pt idx="4">
                  <c:v>Data Center Upgrade</c:v>
                </c:pt>
                <c:pt idx="5">
                  <c:v>ERP System Rollout</c:v>
                </c:pt>
                <c:pt idx="6">
                  <c:v>HR System Implementation</c:v>
                </c:pt>
                <c:pt idx="7">
                  <c:v>Mobile App Launch</c:v>
                </c:pt>
                <c:pt idx="8">
                  <c:v>Network Security Overhaul</c:v>
                </c:pt>
                <c:pt idx="9">
                  <c:v>Office Relocation</c:v>
                </c:pt>
                <c:pt idx="10">
                  <c:v>Product Line Expansion</c:v>
                </c:pt>
                <c:pt idx="11">
                  <c:v>Retail Store Opening</c:v>
                </c:pt>
                <c:pt idx="12">
                  <c:v>Supply Chain Optimization</c:v>
                </c:pt>
                <c:pt idx="13">
                  <c:v>Warehouse Automation</c:v>
                </c:pt>
                <c:pt idx="14">
                  <c:v>Website Redesign</c:v>
                </c:pt>
                <c:pt idx="15">
                  <c:v>Total Result</c:v>
                </c:pt>
              </c:strCache>
            </c:strRef>
          </c:cat>
          <c:val>
            <c:numRef>
              <c:f>PivotTables!$D$6:$D$21</c:f>
              <c:numCache>
                <c:formatCode>General</c:formatCode>
                <c:ptCount val="16"/>
                <c:pt idx="0">
                  <c:v>48164</c:v>
                </c:pt>
                <c:pt idx="1">
                  <c:v>49405</c:v>
                </c:pt>
                <c:pt idx="2">
                  <c:v>73502</c:v>
                </c:pt>
                <c:pt idx="3">
                  <c:v>65762</c:v>
                </c:pt>
                <c:pt idx="4">
                  <c:v>74295</c:v>
                </c:pt>
                <c:pt idx="5">
                  <c:v>71644</c:v>
                </c:pt>
                <c:pt idx="6">
                  <c:v>72504</c:v>
                </c:pt>
                <c:pt idx="7">
                  <c:v>90358</c:v>
                </c:pt>
                <c:pt idx="8">
                  <c:v>60539</c:v>
                </c:pt>
                <c:pt idx="9">
                  <c:v>74881</c:v>
                </c:pt>
                <c:pt idx="10">
                  <c:v>40791</c:v>
                </c:pt>
                <c:pt idx="11">
                  <c:v>58608</c:v>
                </c:pt>
                <c:pt idx="12">
                  <c:v>53913</c:v>
                </c:pt>
                <c:pt idx="13">
                  <c:v>67742</c:v>
                </c:pt>
                <c:pt idx="14">
                  <c:v>37614</c:v>
                </c:pt>
                <c:pt idx="15">
                  <c:v>939722</c:v>
                </c:pt>
              </c:numCache>
            </c:numRef>
          </c:val>
        </c:ser>
        <c:gapWidth val="219"/>
        <c:overlap val="-27"/>
        <c:axId val="5470341"/>
        <c:axId val="4766180"/>
      </c:barChart>
      <c:catAx>
        <c:axId val="54703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4766180"/>
        <c:crosses val="autoZero"/>
        <c:auto val="1"/>
        <c:lblAlgn val="ctr"/>
        <c:lblOffset val="100"/>
        <c:noMultiLvlLbl val="0"/>
      </c:catAx>
      <c:valAx>
        <c:axId val="4766180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54703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0" u="none" strike="noStrike">
                <a:solidFill>
                  <a:srgbClr val="000000"/>
                </a:solidFill>
                <a:uFillTx/>
                <a:latin typeface="Calibri"/>
              </a:rPr>
              <a:t>Status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881399119759"/>
          <c:y val="0.120879120879121"/>
          <c:w val="0.729534398888117"/>
          <c:h val="0.78846153846153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PivotTables!$C$33:$C$34</c:f>
              <c:strCache>
                <c:ptCount val="1"/>
                <c:pt idx="0">
                  <c:v>Status Completed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PivotTables!$B$35:$B$42</c:f>
              <c:strCache>
                <c:ptCount val="8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Procurement</c:v>
                </c:pt>
                <c:pt idx="6">
                  <c:v>Quality Assurance</c:v>
                </c:pt>
                <c:pt idx="7">
                  <c:v>Total Result</c:v>
                </c:pt>
              </c:strCache>
            </c:strRef>
          </c:cat>
          <c:val>
            <c:numRef>
              <c:f>PivotTables!$C$35:$C$42</c:f>
              <c:numCache>
                <c:formatCode>General</c:formatCode>
                <c:ptCount val="8"/>
                <c:pt idx="0">
                  <c:v>17</c:v>
                </c:pt>
                <c:pt idx="1">
                  <c:v>16</c:v>
                </c:pt>
                <c:pt idx="2">
                  <c:v>23</c:v>
                </c:pt>
                <c:pt idx="3">
                  <c:v>17</c:v>
                </c:pt>
                <c:pt idx="4">
                  <c:v>22</c:v>
                </c:pt>
                <c:pt idx="5">
                  <c:v>15</c:v>
                </c:pt>
                <c:pt idx="6">
                  <c:v>15</c:v>
                </c:pt>
                <c:pt idx="7">
                  <c:v>125</c:v>
                </c:pt>
              </c:numCache>
            </c:numRef>
          </c:val>
        </c:ser>
        <c:ser>
          <c:idx val="1"/>
          <c:order val="1"/>
          <c:tx>
            <c:strRef>
              <c:f>PivotTables!$D$33:$D$34</c:f>
              <c:strCache>
                <c:ptCount val="1"/>
                <c:pt idx="0">
                  <c:v>Delayed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PivotTables!$B$35:$B$42</c:f>
              <c:strCache>
                <c:ptCount val="8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Procurement</c:v>
                </c:pt>
                <c:pt idx="6">
                  <c:v>Quality Assurance</c:v>
                </c:pt>
                <c:pt idx="7">
                  <c:v>Total Result</c:v>
                </c:pt>
              </c:strCache>
            </c:strRef>
          </c:cat>
          <c:val>
            <c:numRef>
              <c:f>PivotTables!$D$35:$D$42</c:f>
              <c:numCache>
                <c:formatCode>General</c:formatCode>
                <c:ptCount val="8"/>
                <c:pt idx="0">
                  <c:v>7</c:v>
                </c:pt>
                <c:pt idx="1">
                  <c:v>6</c:v>
                </c:pt>
                <c:pt idx="2">
                  <c:v>9</c:v>
                </c:pt>
                <c:pt idx="3">
                  <c:v>8</c:v>
                </c:pt>
                <c:pt idx="4">
                  <c:v>4</c:v>
                </c:pt>
                <c:pt idx="5">
                  <c:v>6</c:v>
                </c:pt>
                <c:pt idx="6">
                  <c:v>6</c:v>
                </c:pt>
                <c:pt idx="7">
                  <c:v>46</c:v>
                </c:pt>
              </c:numCache>
            </c:numRef>
          </c:val>
        </c:ser>
        <c:ser>
          <c:idx val="2"/>
          <c:order val="2"/>
          <c:tx>
            <c:strRef>
              <c:f>PivotTables!$E$33:$E$34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rgbClr val="9BBB59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PivotTables!$B$35:$B$42</c:f>
              <c:strCache>
                <c:ptCount val="8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Procurement</c:v>
                </c:pt>
                <c:pt idx="6">
                  <c:v>Quality Assurance</c:v>
                </c:pt>
                <c:pt idx="7">
                  <c:v>Total Result</c:v>
                </c:pt>
              </c:strCache>
            </c:strRef>
          </c:cat>
          <c:val>
            <c:numRef>
              <c:f>PivotTables!$E$35:$E$42</c:f>
              <c:numCache>
                <c:formatCode>General</c:formatCode>
                <c:ptCount val="8"/>
                <c:pt idx="0">
                  <c:v>18</c:v>
                </c:pt>
                <c:pt idx="1">
                  <c:v>11</c:v>
                </c:pt>
                <c:pt idx="2">
                  <c:v>10</c:v>
                </c:pt>
                <c:pt idx="3">
                  <c:v>17</c:v>
                </c:pt>
                <c:pt idx="4">
                  <c:v>16</c:v>
                </c:pt>
                <c:pt idx="5">
                  <c:v>18</c:v>
                </c:pt>
                <c:pt idx="6">
                  <c:v>9</c:v>
                </c:pt>
                <c:pt idx="7">
                  <c:v>99</c:v>
                </c:pt>
              </c:numCache>
            </c:numRef>
          </c:val>
        </c:ser>
        <c:ser>
          <c:idx val="3"/>
          <c:order val="3"/>
          <c:tx>
            <c:strRef>
              <c:f>PivotTables!$F$33:$F$34</c:f>
              <c:strCache>
                <c:ptCount val="1"/>
                <c:pt idx="0">
                  <c:v>Not Started</c:v>
                </c:pt>
              </c:strCache>
            </c:strRef>
          </c:tx>
          <c:spPr>
            <a:solidFill>
              <a:srgbClr val="8064A2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PivotTables!$B$35:$B$42</c:f>
              <c:strCache>
                <c:ptCount val="8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Procurement</c:v>
                </c:pt>
                <c:pt idx="6">
                  <c:v>Quality Assurance</c:v>
                </c:pt>
                <c:pt idx="7">
                  <c:v>Total Result</c:v>
                </c:pt>
              </c:strCache>
            </c:strRef>
          </c:cat>
          <c:val>
            <c:numRef>
              <c:f>PivotTables!$F$35:$F$42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10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4</c:v>
                </c:pt>
                <c:pt idx="7">
                  <c:v>39</c:v>
                </c:pt>
              </c:numCache>
            </c:numRef>
          </c:val>
        </c:ser>
        <c:gapWidth val="182"/>
        <c:overlap val="0"/>
        <c:axId val="10119932"/>
        <c:axId val="7387036"/>
      </c:barChart>
      <c:catAx>
        <c:axId val="101199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7387036"/>
        <c:crosses val="autoZero"/>
        <c:auto val="1"/>
        <c:lblAlgn val="ctr"/>
        <c:lblOffset val="100"/>
        <c:noMultiLvlLbl val="0"/>
      </c:catAx>
      <c:valAx>
        <c:axId val="7387036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101199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0" u="none" strike="noStrike">
                <a:solidFill>
                  <a:schemeClr val="tx1"/>
                </a:solidFill>
                <a:uFillTx/>
                <a:latin typeface="Calibri"/>
              </a:rPr>
              <a:t>Delay by Department and Priority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84377211606511"/>
          <c:y val="0.152728700431881"/>
          <c:w val="0.896142958244869"/>
          <c:h val="0.7396937573616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PivotTables!$C$58:$C$59</c:f>
              <c:strCache>
                <c:ptCount val="1"/>
                <c:pt idx="0">
                  <c:v>Priority High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chemeClr val="tx1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PivotTables!$B$60:$B$67</c:f>
              <c:strCache>
                <c:ptCount val="8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Procurement</c:v>
                </c:pt>
                <c:pt idx="6">
                  <c:v>Quality Assurance</c:v>
                </c:pt>
                <c:pt idx="7">
                  <c:v>Total Result</c:v>
                </c:pt>
              </c:strCache>
            </c:strRef>
          </c:cat>
          <c:val>
            <c:numRef>
              <c:f>PivotTables!$C$60:$C$67</c:f>
              <c:numCache>
                <c:formatCode>General</c:formatCode>
                <c:ptCount val="8"/>
                <c:pt idx="0">
                  <c:v>13</c:v>
                </c:pt>
                <c:pt idx="1">
                  <c:v>13</c:v>
                </c:pt>
                <c:pt idx="2">
                  <c:v>24</c:v>
                </c:pt>
                <c:pt idx="3">
                  <c:v>14</c:v>
                </c:pt>
                <c:pt idx="4">
                  <c:v>17</c:v>
                </c:pt>
                <c:pt idx="5">
                  <c:v>14</c:v>
                </c:pt>
                <c:pt idx="6">
                  <c:v>13</c:v>
                </c:pt>
                <c:pt idx="7">
                  <c:v>108</c:v>
                </c:pt>
              </c:numCache>
            </c:numRef>
          </c:val>
        </c:ser>
        <c:ser>
          <c:idx val="1"/>
          <c:order val="1"/>
          <c:tx>
            <c:strRef>
              <c:f>PivotTables!$D$58:$D$59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chemeClr val="tx1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PivotTables!$B$60:$B$67</c:f>
              <c:strCache>
                <c:ptCount val="8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Procurement</c:v>
                </c:pt>
                <c:pt idx="6">
                  <c:v>Quality Assurance</c:v>
                </c:pt>
                <c:pt idx="7">
                  <c:v>Total Result</c:v>
                </c:pt>
              </c:strCache>
            </c:strRef>
          </c:cat>
          <c:val>
            <c:numRef>
              <c:f>PivotTables!$D$60:$D$67</c:f>
              <c:numCache>
                <c:formatCode>General</c:formatCode>
                <c:ptCount val="8"/>
                <c:pt idx="0">
                  <c:v>22</c:v>
                </c:pt>
                <c:pt idx="1">
                  <c:v>11</c:v>
                </c:pt>
                <c:pt idx="2">
                  <c:v>12</c:v>
                </c:pt>
                <c:pt idx="3">
                  <c:v>15</c:v>
                </c:pt>
                <c:pt idx="4">
                  <c:v>14</c:v>
                </c:pt>
                <c:pt idx="5">
                  <c:v>15</c:v>
                </c:pt>
                <c:pt idx="6">
                  <c:v>7</c:v>
                </c:pt>
                <c:pt idx="7">
                  <c:v>96</c:v>
                </c:pt>
              </c:numCache>
            </c:numRef>
          </c:val>
        </c:ser>
        <c:ser>
          <c:idx val="2"/>
          <c:order val="2"/>
          <c:tx>
            <c:strRef>
              <c:f>PivotTables!$E$58:$E$59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rgbClr val="9BBB59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chemeClr val="tx1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PivotTables!$B$60:$B$67</c:f>
              <c:strCache>
                <c:ptCount val="8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Procurement</c:v>
                </c:pt>
                <c:pt idx="6">
                  <c:v>Quality Assurance</c:v>
                </c:pt>
                <c:pt idx="7">
                  <c:v>Total Result</c:v>
                </c:pt>
              </c:strCache>
            </c:strRef>
          </c:cat>
          <c:val>
            <c:numRef>
              <c:f>PivotTables!$E$60:$E$67</c:f>
              <c:numCache>
                <c:formatCode>General</c:formatCode>
                <c:ptCount val="8"/>
                <c:pt idx="0">
                  <c:v>12</c:v>
                </c:pt>
                <c:pt idx="1">
                  <c:v>12</c:v>
                </c:pt>
                <c:pt idx="2">
                  <c:v>14</c:v>
                </c:pt>
                <c:pt idx="3">
                  <c:v>20</c:v>
                </c:pt>
                <c:pt idx="4">
                  <c:v>15</c:v>
                </c:pt>
                <c:pt idx="5">
                  <c:v>12</c:v>
                </c:pt>
                <c:pt idx="6">
                  <c:v>14</c:v>
                </c:pt>
                <c:pt idx="7">
                  <c:v>99</c:v>
                </c:pt>
              </c:numCache>
            </c:numRef>
          </c:val>
        </c:ser>
        <c:ser>
          <c:idx val="3"/>
          <c:order val="3"/>
          <c:tx>
            <c:strRef>
              <c:f>PivotTables!$F$58:$F$59</c:f>
              <c:strCache>
                <c:ptCount val="1"/>
                <c:pt idx="0">
                  <c:v>Not Set</c:v>
                </c:pt>
              </c:strCache>
            </c:strRef>
          </c:tx>
          <c:spPr>
            <a:solidFill>
              <a:srgbClr val="8064A2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chemeClr val="tx1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PivotTables!$B$60:$B$67</c:f>
              <c:strCache>
                <c:ptCount val="8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Procurement</c:v>
                </c:pt>
                <c:pt idx="6">
                  <c:v>Quality Assurance</c:v>
                </c:pt>
                <c:pt idx="7">
                  <c:v>Total Result</c:v>
                </c:pt>
              </c:strCache>
            </c:strRef>
          </c:cat>
          <c:val>
            <c:numRef>
              <c:f>PivotTables!$F$60:$F$67</c:f>
              <c:numCache>
                <c:formatCode>General</c:formatCode>
                <c:ptCount val="8"/>
                <c:pt idx="1">
                  <c:v>2</c:v>
                </c:pt>
                <c:pt idx="2">
                  <c:v>2</c:v>
                </c:pt>
                <c:pt idx="4">
                  <c:v>1</c:v>
                </c:pt>
                <c:pt idx="5">
                  <c:v>1</c:v>
                </c:pt>
                <c:pt idx="7">
                  <c:v>6</c:v>
                </c:pt>
              </c:numCache>
            </c:numRef>
          </c:val>
        </c:ser>
        <c:gapWidth val="219"/>
        <c:overlap val="-27"/>
        <c:axId val="81451874"/>
        <c:axId val="85559727"/>
      </c:barChart>
      <c:catAx>
        <c:axId val="8145187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/>
                </a:solidFill>
                <a:uFillTx/>
                <a:latin typeface="Calibri"/>
              </a:defRPr>
            </a:pPr>
          </a:p>
        </c:txPr>
        <c:crossAx val="85559727"/>
        <c:crosses val="autoZero"/>
        <c:auto val="1"/>
        <c:lblAlgn val="ctr"/>
        <c:lblOffset val="100"/>
        <c:noMultiLvlLbl val="0"/>
      </c:catAx>
      <c:valAx>
        <c:axId val="85559727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/>
                </a:solidFill>
                <a:uFillTx/>
                <a:latin typeface="Calibri"/>
              </a:defRPr>
            </a:pPr>
          </a:p>
        </c:txPr>
        <c:crossAx val="814518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0" u="none" strike="noStrike">
                <a:solidFill>
                  <a:schemeClr val="tx1"/>
                </a:solidFill>
                <a:uFillTx/>
                <a:latin typeface="Calibri"/>
              </a:rPr>
              <a:t>Top 5 Employees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42273915666689"/>
          <c:y val="0.220436856640723"/>
          <c:w val="0.470805121673259"/>
          <c:h val="0.779437609841828"/>
        </c:manualLayout>
      </c:layout>
      <c:pieChart>
        <c:varyColors val="1"/>
        <c:ser>
          <c:idx val="0"/>
          <c:order val="0"/>
          <c:tx>
            <c:strRef>
              <c:f>PivotTables!$C$83</c:f>
              <c:strCache>
                <c:ptCount val="1"/>
                <c:pt idx="0">
                  <c:v>Sum of Actual_Cost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layout>
                <c:manualLayout>
                  <c:x val="-0.138158924739141"/>
                  <c:y val="0.172030780386982"/>
                </c:manualLayout>
              </c:layout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/>
                      </a:solidFill>
                      <a:uFillTx/>
                      <a:latin typeface="Calibri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/>
                      </a:solidFill>
                      <a:uFillTx/>
                      <a:latin typeface="Calibri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/>
                      </a:solidFill>
                      <a:uFillTx/>
                      <a:latin typeface="Calibri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layout>
                <c:manualLayout>
                  <c:x val="0.125000191594833"/>
                  <c:y val="0.170757528072103"/>
                </c:manualLayout>
              </c:layout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/>
                      </a:solidFill>
                      <a:uFillTx/>
                      <a:latin typeface="Calibri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900" b="0" u="none" strike="noStrike">
                    <a:solidFill>
                      <a:schemeClr val="tx1"/>
                    </a:solidFill>
                    <a:uFillTx/>
                    <a:latin typeface="Calibri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eparator>
</c:separator>
            <c:showLeaderLines val="0"/>
          </c:dLbls>
          <c:cat>
            <c:strRef>
              <c:f>PivotTables!$B$84:$B$89</c:f>
              <c:strCache>
                <c:ptCount val="6"/>
                <c:pt idx="0">
                  <c:v>Hassan Fouad</c:v>
                </c:pt>
                <c:pt idx="1">
                  <c:v>Noor Naguib</c:v>
                </c:pt>
                <c:pt idx="2">
                  <c:v>Sherif Ibrahim</c:v>
                </c:pt>
                <c:pt idx="3">
                  <c:v>Tarek Shawky</c:v>
                </c:pt>
                <c:pt idx="4">
                  <c:v>Khaled Naguib</c:v>
                </c:pt>
                <c:pt idx="5">
                  <c:v>Total Result</c:v>
                </c:pt>
              </c:strCache>
            </c:strRef>
          </c:cat>
          <c:val>
            <c:numRef>
              <c:f>PivotTables!$C$84:$C$89</c:f>
              <c:numCache>
                <c:formatCode>\$#,##0</c:formatCode>
                <c:ptCount val="6"/>
                <c:pt idx="0">
                  <c:v>65635</c:v>
                </c:pt>
                <c:pt idx="1">
                  <c:v>64193</c:v>
                </c:pt>
                <c:pt idx="2">
                  <c:v>58857</c:v>
                </c:pt>
                <c:pt idx="3">
                  <c:v>49862</c:v>
                </c:pt>
                <c:pt idx="4">
                  <c:v>47894</c:v>
                </c:pt>
                <c:pt idx="5">
                  <c:v>286441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autoTitleDeleted val="1"/>
    <c:plotArea>
      <c:radarChart>
        <c:radarStyle val="marker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Total Planned Cost</c:v>
                </c:pt>
              </c:strCache>
            </c:strRef>
          </c:tx>
          <c:spPr>
            <a:solidFill>
              <a:srgbClr val="F79646"/>
            </a:solidFill>
            <a:ln cap="rnd" w="15840">
              <a:solidFill>
                <a:schemeClr val="accent6"/>
              </a:solidFill>
              <a:round/>
            </a:ln>
          </c:spPr>
          <c:marker>
            <c:symbol val="circle"/>
            <c:size val="4"/>
            <c:spPr>
              <a:solidFill>
                <a:srgbClr val="F79646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5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5"/>
                <c:pt idx="0">
                  <c:v>Brand Refresh Campaign</c:v>
                </c:pt>
                <c:pt idx="1">
                  <c:v>Cloud Migration</c:v>
                </c:pt>
                <c:pt idx="2">
                  <c:v>CRM Migration</c:v>
                </c:pt>
                <c:pt idx="3">
                  <c:v>Customer Portal Upgrade</c:v>
                </c:pt>
                <c:pt idx="4">
                  <c:v>Data Center Upgrade</c:v>
                </c:pt>
                <c:pt idx="5">
                  <c:v>ERP System Rollout</c:v>
                </c:pt>
                <c:pt idx="6">
                  <c:v>HR System Implementation</c:v>
                </c:pt>
                <c:pt idx="7">
                  <c:v>Mobile App Launch</c:v>
                </c:pt>
                <c:pt idx="8">
                  <c:v>Network Security Overhaul</c:v>
                </c:pt>
                <c:pt idx="9">
                  <c:v>Office Relocation</c:v>
                </c:pt>
                <c:pt idx="10">
                  <c:v>Product Line Expansion</c:v>
                </c:pt>
                <c:pt idx="11">
                  <c:v>Retail Store Opening</c:v>
                </c:pt>
                <c:pt idx="12">
                  <c:v>Supply Chain Optimization</c:v>
                </c:pt>
                <c:pt idx="13">
                  <c:v>Warehouse Automation</c:v>
                </c:pt>
                <c:pt idx="14">
                  <c:v>Website Redesign</c:v>
                </c:pt>
              </c:strCache>
            </c:strRef>
          </c:cat>
          <c:val>
            <c:numRef>
              <c:f>0</c:f>
              <c:numCache>
                <c:formatCode>\$#,##0;"($"#,##0\);\$#,##0</c:formatCode>
                <c:ptCount val="15"/>
                <c:pt idx="0">
                  <c:v>70000</c:v>
                </c:pt>
                <c:pt idx="1">
                  <c:v>66000</c:v>
                </c:pt>
                <c:pt idx="2">
                  <c:v>109500</c:v>
                </c:pt>
                <c:pt idx="3">
                  <c:v>85500</c:v>
                </c:pt>
                <c:pt idx="4">
                  <c:v>90000</c:v>
                </c:pt>
                <c:pt idx="5">
                  <c:v>97500</c:v>
                </c:pt>
                <c:pt idx="6">
                  <c:v>106000</c:v>
                </c:pt>
                <c:pt idx="7">
                  <c:v>98000</c:v>
                </c:pt>
                <c:pt idx="8">
                  <c:v>94000</c:v>
                </c:pt>
                <c:pt idx="9">
                  <c:v>93000</c:v>
                </c:pt>
                <c:pt idx="10">
                  <c:v>77500</c:v>
                </c:pt>
                <c:pt idx="11">
                  <c:v>93000</c:v>
                </c:pt>
                <c:pt idx="12">
                  <c:v>74000</c:v>
                </c:pt>
                <c:pt idx="13">
                  <c:v>78500</c:v>
                </c:pt>
                <c:pt idx="14">
                  <c:v>50000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Total Actual Cost</c:v>
                </c:pt>
              </c:strCache>
            </c:strRef>
          </c:tx>
          <c:spPr>
            <a:solidFill>
              <a:srgbClr val="4BACC6"/>
            </a:solidFill>
            <a:ln cap="rnd" w="15840">
              <a:solidFill>
                <a:schemeClr val="accent5"/>
              </a:solidFill>
              <a:round/>
            </a:ln>
          </c:spPr>
          <c:marker>
            <c:symbol val="circle"/>
            <c:size val="4"/>
            <c:spPr>
              <a:solidFill>
                <a:srgbClr val="4BACC6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5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5"/>
                <c:pt idx="0">
                  <c:v>Brand Refresh Campaign</c:v>
                </c:pt>
                <c:pt idx="1">
                  <c:v>Cloud Migration</c:v>
                </c:pt>
                <c:pt idx="2">
                  <c:v>CRM Migration</c:v>
                </c:pt>
                <c:pt idx="3">
                  <c:v>Customer Portal Upgrade</c:v>
                </c:pt>
                <c:pt idx="4">
                  <c:v>Data Center Upgrade</c:v>
                </c:pt>
                <c:pt idx="5">
                  <c:v>ERP System Rollout</c:v>
                </c:pt>
                <c:pt idx="6">
                  <c:v>HR System Implementation</c:v>
                </c:pt>
                <c:pt idx="7">
                  <c:v>Mobile App Launch</c:v>
                </c:pt>
                <c:pt idx="8">
                  <c:v>Network Security Overhaul</c:v>
                </c:pt>
                <c:pt idx="9">
                  <c:v>Office Relocation</c:v>
                </c:pt>
                <c:pt idx="10">
                  <c:v>Product Line Expansion</c:v>
                </c:pt>
                <c:pt idx="11">
                  <c:v>Retail Store Opening</c:v>
                </c:pt>
                <c:pt idx="12">
                  <c:v>Supply Chain Optimization</c:v>
                </c:pt>
                <c:pt idx="13">
                  <c:v>Warehouse Automation</c:v>
                </c:pt>
                <c:pt idx="14">
                  <c:v>Website Redesign</c:v>
                </c:pt>
              </c:strCache>
            </c:strRef>
          </c:cat>
          <c:val>
            <c:numRef>
              <c:f>1</c:f>
              <c:numCache>
                <c:formatCode>\$#,##0;"($"#,##0\);\$#,##0</c:formatCode>
                <c:ptCount val="15"/>
                <c:pt idx="0">
                  <c:v>48164</c:v>
                </c:pt>
                <c:pt idx="1">
                  <c:v>49405</c:v>
                </c:pt>
                <c:pt idx="2">
                  <c:v>73502</c:v>
                </c:pt>
                <c:pt idx="3">
                  <c:v>65762</c:v>
                </c:pt>
                <c:pt idx="4">
                  <c:v>74295</c:v>
                </c:pt>
                <c:pt idx="5">
                  <c:v>71644</c:v>
                </c:pt>
                <c:pt idx="6">
                  <c:v>72504</c:v>
                </c:pt>
                <c:pt idx="7">
                  <c:v>90358</c:v>
                </c:pt>
                <c:pt idx="8">
                  <c:v>60539</c:v>
                </c:pt>
                <c:pt idx="9">
                  <c:v>74881</c:v>
                </c:pt>
                <c:pt idx="10">
                  <c:v>40791</c:v>
                </c:pt>
                <c:pt idx="11">
                  <c:v>58608</c:v>
                </c:pt>
                <c:pt idx="12">
                  <c:v>53913</c:v>
                </c:pt>
                <c:pt idx="13">
                  <c:v>67742</c:v>
                </c:pt>
                <c:pt idx="14">
                  <c:v>37614</c:v>
                </c:pt>
              </c:numCache>
            </c:numRef>
          </c:val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Cost Variance</c:v>
                </c:pt>
              </c:strCache>
            </c:strRef>
          </c:tx>
          <c:spPr>
            <a:solidFill>
              <a:srgbClr val="8064A2"/>
            </a:solidFill>
            <a:ln cap="rnd" w="15840">
              <a:solidFill>
                <a:schemeClr val="accent4"/>
              </a:solidFill>
              <a:round/>
            </a:ln>
          </c:spPr>
          <c:marker>
            <c:symbol val="circle"/>
            <c:size val="4"/>
            <c:spPr>
              <a:solidFill>
                <a:srgbClr val="8064A2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5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5"/>
                <c:pt idx="0">
                  <c:v>Brand Refresh Campaign</c:v>
                </c:pt>
                <c:pt idx="1">
                  <c:v>Cloud Migration</c:v>
                </c:pt>
                <c:pt idx="2">
                  <c:v>CRM Migration</c:v>
                </c:pt>
                <c:pt idx="3">
                  <c:v>Customer Portal Upgrade</c:v>
                </c:pt>
                <c:pt idx="4">
                  <c:v>Data Center Upgrade</c:v>
                </c:pt>
                <c:pt idx="5">
                  <c:v>ERP System Rollout</c:v>
                </c:pt>
                <c:pt idx="6">
                  <c:v>HR System Implementation</c:v>
                </c:pt>
                <c:pt idx="7">
                  <c:v>Mobile App Launch</c:v>
                </c:pt>
                <c:pt idx="8">
                  <c:v>Network Security Overhaul</c:v>
                </c:pt>
                <c:pt idx="9">
                  <c:v>Office Relocation</c:v>
                </c:pt>
                <c:pt idx="10">
                  <c:v>Product Line Expansion</c:v>
                </c:pt>
                <c:pt idx="11">
                  <c:v>Retail Store Opening</c:v>
                </c:pt>
                <c:pt idx="12">
                  <c:v>Supply Chain Optimization</c:v>
                </c:pt>
                <c:pt idx="13">
                  <c:v>Warehouse Automation</c:v>
                </c:pt>
                <c:pt idx="14">
                  <c:v>Website Redesign</c:v>
                </c:pt>
              </c:strCache>
            </c:strRef>
          </c:cat>
          <c:val>
            <c:numRef>
              <c:f>2</c:f>
              <c:numCache>
                <c:formatCode>\$#,##0;"($"#,##0\);\$#,##0</c:formatCode>
                <c:ptCount val="15"/>
                <c:pt idx="0">
                  <c:v>-21836</c:v>
                </c:pt>
                <c:pt idx="1">
                  <c:v>-16595</c:v>
                </c:pt>
                <c:pt idx="2">
                  <c:v>-35998</c:v>
                </c:pt>
                <c:pt idx="3">
                  <c:v>-19738</c:v>
                </c:pt>
                <c:pt idx="4">
                  <c:v>-15705</c:v>
                </c:pt>
                <c:pt idx="5">
                  <c:v>-25856</c:v>
                </c:pt>
                <c:pt idx="6">
                  <c:v>-33496</c:v>
                </c:pt>
                <c:pt idx="7">
                  <c:v>-7642</c:v>
                </c:pt>
                <c:pt idx="8">
                  <c:v>-33461</c:v>
                </c:pt>
                <c:pt idx="9">
                  <c:v>-18119</c:v>
                </c:pt>
                <c:pt idx="10">
                  <c:v>-36709</c:v>
                </c:pt>
                <c:pt idx="11">
                  <c:v>-34392</c:v>
                </c:pt>
                <c:pt idx="12">
                  <c:v>-20087</c:v>
                </c:pt>
                <c:pt idx="13">
                  <c:v>-10758</c:v>
                </c:pt>
                <c:pt idx="14">
                  <c:v>-12386</c:v>
                </c:pt>
              </c:numCache>
            </c:numRef>
          </c:val>
        </c:ser>
        <c:axId val="33879791"/>
        <c:axId val="28988856"/>
      </c:radarChart>
      <c:catAx>
        <c:axId val="33879791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50000"/>
                    <a:lumOff val="50000"/>
                  </a:schemeClr>
                </a:solidFill>
                <a:uFillTx/>
                <a:latin typeface="Calibri"/>
              </a:defRPr>
            </a:pPr>
          </a:p>
        </c:txPr>
        <c:crossAx val="28988856"/>
        <c:crosses val="autoZero"/>
        <c:auto val="1"/>
        <c:lblAlgn val="ctr"/>
        <c:lblOffset val="100"/>
        <c:noMultiLvlLbl val="0"/>
      </c:catAx>
      <c:valAx>
        <c:axId val="28988856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\$#,##0;&quot;($&quot;#,##0\);\$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50000"/>
                    <a:lumOff val="50000"/>
                  </a:schemeClr>
                </a:solidFill>
                <a:uFillTx/>
                <a:latin typeface="Calibri"/>
              </a:defRPr>
            </a:pPr>
          </a:p>
        </c:txPr>
        <c:crossAx val="3387979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50000"/>
                  <a:lumOff val="50000"/>
                </a:schemeClr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0" u="none" strike="noStrike">
                <a:solidFill>
                  <a:srgbClr val="B0E4CC"/>
                </a:solidFill>
                <a:uFillTx/>
                <a:latin typeface="Calibri"/>
              </a:rPr>
              <a:t>Planned vs Actual Cost  per Project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0501447129299"/>
          <c:y val="0.155208478594338"/>
          <c:w val="0.638015750151444"/>
          <c:h val="0.4254636731278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PivotTables!$C$5</c:f>
              <c:strCache>
                <c:ptCount val="1"/>
                <c:pt idx="0">
                  <c:v>Sum of Planned_Cost</c:v>
                </c:pt>
              </c:strCache>
            </c:strRef>
          </c:tx>
          <c:spPr>
            <a:solidFill>
              <a:srgbClr val="B0E4CC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chemeClr val="bg1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PivotTables!$B$6:$B$21</c:f>
              <c:strCache>
                <c:ptCount val="16"/>
                <c:pt idx="0">
                  <c:v>Brand Refresh Campaign</c:v>
                </c:pt>
                <c:pt idx="1">
                  <c:v>Cloud Migration</c:v>
                </c:pt>
                <c:pt idx="2">
                  <c:v>CRM Migration</c:v>
                </c:pt>
                <c:pt idx="3">
                  <c:v>Customer Portal Upgrade</c:v>
                </c:pt>
                <c:pt idx="4">
                  <c:v>Data Center Upgrade</c:v>
                </c:pt>
                <c:pt idx="5">
                  <c:v>ERP System Rollout</c:v>
                </c:pt>
                <c:pt idx="6">
                  <c:v>HR System Implementation</c:v>
                </c:pt>
                <c:pt idx="7">
                  <c:v>Mobile App Launch</c:v>
                </c:pt>
                <c:pt idx="8">
                  <c:v>Network Security Overhaul</c:v>
                </c:pt>
                <c:pt idx="9">
                  <c:v>Office Relocation</c:v>
                </c:pt>
                <c:pt idx="10">
                  <c:v>Product Line Expansion</c:v>
                </c:pt>
                <c:pt idx="11">
                  <c:v>Retail Store Opening</c:v>
                </c:pt>
                <c:pt idx="12">
                  <c:v>Supply Chain Optimization</c:v>
                </c:pt>
                <c:pt idx="13">
                  <c:v>Warehouse Automation</c:v>
                </c:pt>
                <c:pt idx="14">
                  <c:v>Website Redesign</c:v>
                </c:pt>
                <c:pt idx="15">
                  <c:v>Total Result</c:v>
                </c:pt>
              </c:strCache>
            </c:strRef>
          </c:cat>
          <c:val>
            <c:numRef>
              <c:f>PivotTables!$C$6:$C$21</c:f>
              <c:numCache>
                <c:formatCode>General</c:formatCode>
                <c:ptCount val="16"/>
                <c:pt idx="0">
                  <c:v>70000</c:v>
                </c:pt>
                <c:pt idx="1">
                  <c:v>66000</c:v>
                </c:pt>
                <c:pt idx="2">
                  <c:v>109500</c:v>
                </c:pt>
                <c:pt idx="3">
                  <c:v>85500</c:v>
                </c:pt>
                <c:pt idx="4">
                  <c:v>90000</c:v>
                </c:pt>
                <c:pt idx="5">
                  <c:v>97500</c:v>
                </c:pt>
                <c:pt idx="6">
                  <c:v>106000</c:v>
                </c:pt>
                <c:pt idx="7">
                  <c:v>98000</c:v>
                </c:pt>
                <c:pt idx="8">
                  <c:v>94000</c:v>
                </c:pt>
                <c:pt idx="9">
                  <c:v>93000</c:v>
                </c:pt>
                <c:pt idx="10">
                  <c:v>77500</c:v>
                </c:pt>
                <c:pt idx="11">
                  <c:v>93000</c:v>
                </c:pt>
                <c:pt idx="12">
                  <c:v>74000</c:v>
                </c:pt>
                <c:pt idx="13">
                  <c:v>78500</c:v>
                </c:pt>
                <c:pt idx="14">
                  <c:v>50000</c:v>
                </c:pt>
                <c:pt idx="15">
                  <c:v>1282500</c:v>
                </c:pt>
              </c:numCache>
            </c:numRef>
          </c:val>
        </c:ser>
        <c:ser>
          <c:idx val="1"/>
          <c:order val="1"/>
          <c:tx>
            <c:strRef>
              <c:f>PivotTables!$D$5</c:f>
              <c:strCache>
                <c:ptCount val="1"/>
                <c:pt idx="0">
                  <c:v>Sum of Actual_Cost</c:v>
                </c:pt>
              </c:strCache>
            </c:strRef>
          </c:tx>
          <c:spPr>
            <a:solidFill>
              <a:srgbClr val="285A48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chemeClr val="bg1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PivotTables!$B$6:$B$21</c:f>
              <c:strCache>
                <c:ptCount val="16"/>
                <c:pt idx="0">
                  <c:v>Brand Refresh Campaign</c:v>
                </c:pt>
                <c:pt idx="1">
                  <c:v>Cloud Migration</c:v>
                </c:pt>
                <c:pt idx="2">
                  <c:v>CRM Migration</c:v>
                </c:pt>
                <c:pt idx="3">
                  <c:v>Customer Portal Upgrade</c:v>
                </c:pt>
                <c:pt idx="4">
                  <c:v>Data Center Upgrade</c:v>
                </c:pt>
                <c:pt idx="5">
                  <c:v>ERP System Rollout</c:v>
                </c:pt>
                <c:pt idx="6">
                  <c:v>HR System Implementation</c:v>
                </c:pt>
                <c:pt idx="7">
                  <c:v>Mobile App Launch</c:v>
                </c:pt>
                <c:pt idx="8">
                  <c:v>Network Security Overhaul</c:v>
                </c:pt>
                <c:pt idx="9">
                  <c:v>Office Relocation</c:v>
                </c:pt>
                <c:pt idx="10">
                  <c:v>Product Line Expansion</c:v>
                </c:pt>
                <c:pt idx="11">
                  <c:v>Retail Store Opening</c:v>
                </c:pt>
                <c:pt idx="12">
                  <c:v>Supply Chain Optimization</c:v>
                </c:pt>
                <c:pt idx="13">
                  <c:v>Warehouse Automation</c:v>
                </c:pt>
                <c:pt idx="14">
                  <c:v>Website Redesign</c:v>
                </c:pt>
                <c:pt idx="15">
                  <c:v>Total Result</c:v>
                </c:pt>
              </c:strCache>
            </c:strRef>
          </c:cat>
          <c:val>
            <c:numRef>
              <c:f>PivotTables!$D$6:$D$21</c:f>
              <c:numCache>
                <c:formatCode>General</c:formatCode>
                <c:ptCount val="16"/>
                <c:pt idx="0">
                  <c:v>48164</c:v>
                </c:pt>
                <c:pt idx="1">
                  <c:v>49405</c:v>
                </c:pt>
                <c:pt idx="2">
                  <c:v>73502</c:v>
                </c:pt>
                <c:pt idx="3">
                  <c:v>65762</c:v>
                </c:pt>
                <c:pt idx="4">
                  <c:v>74295</c:v>
                </c:pt>
                <c:pt idx="5">
                  <c:v>71644</c:v>
                </c:pt>
                <c:pt idx="6">
                  <c:v>72504</c:v>
                </c:pt>
                <c:pt idx="7">
                  <c:v>90358</c:v>
                </c:pt>
                <c:pt idx="8">
                  <c:v>60539</c:v>
                </c:pt>
                <c:pt idx="9">
                  <c:v>74881</c:v>
                </c:pt>
                <c:pt idx="10">
                  <c:v>40791</c:v>
                </c:pt>
                <c:pt idx="11">
                  <c:v>58608</c:v>
                </c:pt>
                <c:pt idx="12">
                  <c:v>53913</c:v>
                </c:pt>
                <c:pt idx="13">
                  <c:v>67742</c:v>
                </c:pt>
                <c:pt idx="14">
                  <c:v>37614</c:v>
                </c:pt>
                <c:pt idx="15">
                  <c:v>939722</c:v>
                </c:pt>
              </c:numCache>
            </c:numRef>
          </c:val>
        </c:ser>
        <c:gapWidth val="219"/>
        <c:overlap val="-27"/>
        <c:axId val="84686472"/>
        <c:axId val="47155274"/>
      </c:barChart>
      <c:catAx>
        <c:axId val="846864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bg1"/>
                </a:solidFill>
                <a:uFillTx/>
                <a:latin typeface="Calibri"/>
              </a:defRPr>
            </a:pPr>
          </a:p>
        </c:txPr>
        <c:crossAx val="47155274"/>
        <c:crosses val="autoZero"/>
        <c:auto val="1"/>
        <c:lblAlgn val="ctr"/>
        <c:lblOffset val="100"/>
        <c:noMultiLvlLbl val="0"/>
      </c:catAx>
      <c:valAx>
        <c:axId val="4715527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bg1"/>
                </a:solidFill>
                <a:uFillTx/>
                <a:latin typeface="Calibri"/>
              </a:defRPr>
            </a:pPr>
          </a:p>
        </c:txPr>
        <c:crossAx val="84686472"/>
        <c:crosses val="autoZero"/>
        <c:crossBetween val="between"/>
      </c:valAx>
      <c:spPr>
        <a:noFill/>
        <a:ln w="25560">
          <a:noFill/>
        </a:ln>
      </c:spPr>
    </c:plotArea>
    <c:legend>
      <c:legendPos val="r"/>
      <c:layout>
        <c:manualLayout>
          <c:xMode val="edge"/>
          <c:yMode val="edge"/>
          <c:x val="0.76667246094522"/>
          <c:y val="0.786178709765625"/>
          <c:w val="0.228454205437489"/>
          <c:h val="0.163235057218033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bg1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noFill/>
    <a:ln w="15840">
      <a:solidFill>
        <a:srgbClr val="285A48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0" u="none" strike="noStrike">
                <a:solidFill>
                  <a:srgbClr val="B0E4CC"/>
                </a:solidFill>
                <a:uFillTx/>
                <a:latin typeface="Calibri"/>
              </a:rPr>
              <a:t>Status by Department</a:t>
            </a:r>
          </a:p>
        </c:rich>
      </c:tx>
      <c:layout>
        <c:manualLayout>
          <c:xMode val="edge"/>
          <c:yMode val="edge"/>
          <c:x val="0.275083106678755"/>
          <c:y val="0.0194121667805878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9818676337262"/>
          <c:y val="0.116883116883117"/>
          <c:w val="0.729525536415836"/>
          <c:h val="0.78851674641148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PivotTables!$C$33:$C$34</c:f>
              <c:strCache>
                <c:ptCount val="1"/>
                <c:pt idx="0">
                  <c:v>Status Completed</c:v>
                </c:pt>
              </c:strCache>
            </c:strRef>
          </c:tx>
          <c:spPr>
            <a:solidFill>
              <a:srgbClr val="285A48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chemeClr val="bg1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PivotTables!$B$35:$B$42</c:f>
              <c:strCache>
                <c:ptCount val="8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Procurement</c:v>
                </c:pt>
                <c:pt idx="6">
                  <c:v>Quality Assurance</c:v>
                </c:pt>
                <c:pt idx="7">
                  <c:v>Total Result</c:v>
                </c:pt>
              </c:strCache>
            </c:strRef>
          </c:cat>
          <c:val>
            <c:numRef>
              <c:f>PivotTables!$C$35:$C$42</c:f>
              <c:numCache>
                <c:formatCode>General</c:formatCode>
                <c:ptCount val="8"/>
                <c:pt idx="0">
                  <c:v>17</c:v>
                </c:pt>
                <c:pt idx="1">
                  <c:v>16</c:v>
                </c:pt>
                <c:pt idx="2">
                  <c:v>23</c:v>
                </c:pt>
                <c:pt idx="3">
                  <c:v>17</c:v>
                </c:pt>
                <c:pt idx="4">
                  <c:v>22</c:v>
                </c:pt>
                <c:pt idx="5">
                  <c:v>15</c:v>
                </c:pt>
                <c:pt idx="6">
                  <c:v>15</c:v>
                </c:pt>
                <c:pt idx="7">
                  <c:v>125</c:v>
                </c:pt>
              </c:numCache>
            </c:numRef>
          </c:val>
        </c:ser>
        <c:ser>
          <c:idx val="1"/>
          <c:order val="1"/>
          <c:tx>
            <c:strRef>
              <c:f>PivotTables!$D$33:$D$34</c:f>
              <c:strCache>
                <c:ptCount val="1"/>
                <c:pt idx="0">
                  <c:v>Delayed</c:v>
                </c:pt>
              </c:strCache>
            </c:strRef>
          </c:tx>
          <c:spPr>
            <a:solidFill>
              <a:srgbClr val="77933C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chemeClr val="bg1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PivotTables!$B$35:$B$42</c:f>
              <c:strCache>
                <c:ptCount val="8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Procurement</c:v>
                </c:pt>
                <c:pt idx="6">
                  <c:v>Quality Assurance</c:v>
                </c:pt>
                <c:pt idx="7">
                  <c:v>Total Result</c:v>
                </c:pt>
              </c:strCache>
            </c:strRef>
          </c:cat>
          <c:val>
            <c:numRef>
              <c:f>PivotTables!$D$35:$D$42</c:f>
              <c:numCache>
                <c:formatCode>General</c:formatCode>
                <c:ptCount val="8"/>
                <c:pt idx="0">
                  <c:v>7</c:v>
                </c:pt>
                <c:pt idx="1">
                  <c:v>6</c:v>
                </c:pt>
                <c:pt idx="2">
                  <c:v>9</c:v>
                </c:pt>
                <c:pt idx="3">
                  <c:v>8</c:v>
                </c:pt>
                <c:pt idx="4">
                  <c:v>4</c:v>
                </c:pt>
                <c:pt idx="5">
                  <c:v>6</c:v>
                </c:pt>
                <c:pt idx="6">
                  <c:v>6</c:v>
                </c:pt>
                <c:pt idx="7">
                  <c:v>46</c:v>
                </c:pt>
              </c:numCache>
            </c:numRef>
          </c:val>
        </c:ser>
        <c:ser>
          <c:idx val="2"/>
          <c:order val="2"/>
          <c:tx>
            <c:strRef>
              <c:f>PivotTables!$E$33:$E$34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rgbClr val="B0E4CC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chemeClr val="bg1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PivotTables!$B$35:$B$42</c:f>
              <c:strCache>
                <c:ptCount val="8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Procurement</c:v>
                </c:pt>
                <c:pt idx="6">
                  <c:v>Quality Assurance</c:v>
                </c:pt>
                <c:pt idx="7">
                  <c:v>Total Result</c:v>
                </c:pt>
              </c:strCache>
            </c:strRef>
          </c:cat>
          <c:val>
            <c:numRef>
              <c:f>PivotTables!$E$35:$E$42</c:f>
              <c:numCache>
                <c:formatCode>General</c:formatCode>
                <c:ptCount val="8"/>
                <c:pt idx="0">
                  <c:v>18</c:v>
                </c:pt>
                <c:pt idx="1">
                  <c:v>11</c:v>
                </c:pt>
                <c:pt idx="2">
                  <c:v>10</c:v>
                </c:pt>
                <c:pt idx="3">
                  <c:v>17</c:v>
                </c:pt>
                <c:pt idx="4">
                  <c:v>16</c:v>
                </c:pt>
                <c:pt idx="5">
                  <c:v>18</c:v>
                </c:pt>
                <c:pt idx="6">
                  <c:v>9</c:v>
                </c:pt>
                <c:pt idx="7">
                  <c:v>99</c:v>
                </c:pt>
              </c:numCache>
            </c:numRef>
          </c:val>
        </c:ser>
        <c:ser>
          <c:idx val="3"/>
          <c:order val="3"/>
          <c:tx>
            <c:strRef>
              <c:f>PivotTables!$F$33:$F$34</c:f>
              <c:strCache>
                <c:ptCount val="1"/>
                <c:pt idx="0">
                  <c:v>Not Started</c:v>
                </c:pt>
              </c:strCache>
            </c:strRef>
          </c:tx>
          <c:spPr>
            <a:solidFill>
              <a:srgbClr val="408A71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chemeClr val="bg1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PivotTables!$B$35:$B$42</c:f>
              <c:strCache>
                <c:ptCount val="8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Procurement</c:v>
                </c:pt>
                <c:pt idx="6">
                  <c:v>Quality Assurance</c:v>
                </c:pt>
                <c:pt idx="7">
                  <c:v>Total Result</c:v>
                </c:pt>
              </c:strCache>
            </c:strRef>
          </c:cat>
          <c:val>
            <c:numRef>
              <c:f>PivotTables!$F$35:$F$42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10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4</c:v>
                </c:pt>
                <c:pt idx="7">
                  <c:v>39</c:v>
                </c:pt>
              </c:numCache>
            </c:numRef>
          </c:val>
        </c:ser>
        <c:gapWidth val="182"/>
        <c:overlap val="0"/>
        <c:axId val="95894603"/>
        <c:axId val="84298796"/>
      </c:barChart>
      <c:catAx>
        <c:axId val="9589460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bg1"/>
                </a:solidFill>
                <a:uFillTx/>
                <a:latin typeface="Calibri"/>
              </a:defRPr>
            </a:pPr>
          </a:p>
        </c:txPr>
        <c:crossAx val="84298796"/>
        <c:crosses val="autoZero"/>
        <c:auto val="1"/>
        <c:lblAlgn val="ctr"/>
        <c:lblOffset val="100"/>
        <c:noMultiLvlLbl val="0"/>
      </c:catAx>
      <c:valAx>
        <c:axId val="8429879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bg1"/>
                </a:solidFill>
                <a:uFillTx/>
                <a:latin typeface="Calibri"/>
              </a:defRPr>
            </a:pPr>
          </a:p>
        </c:txPr>
        <c:crossAx val="958946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bg1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noFill/>
    <a:ln w="15840">
      <a:solidFill>
        <a:srgbClr val="285A48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0" u="none" strike="noStrike">
                <a:solidFill>
                  <a:srgbClr val="B0E4CC"/>
                </a:solidFill>
                <a:uFillTx/>
                <a:latin typeface="Calibri"/>
              </a:rPr>
              <a:t>Delay by Department and Priority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60139445186174"/>
          <c:y val="0.183978638184246"/>
          <c:w val="0.887702121346981"/>
          <c:h val="0.5898531375166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PivotTables!$C$58:$C$59</c:f>
              <c:strCache>
                <c:ptCount val="1"/>
                <c:pt idx="0">
                  <c:v>Priority High</c:v>
                </c:pt>
              </c:strCache>
            </c:strRef>
          </c:tx>
          <c:spPr>
            <a:solidFill>
              <a:srgbClr val="285A48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chemeClr val="bg1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PivotTables!$B$60:$B$67</c:f>
              <c:strCache>
                <c:ptCount val="8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Procurement</c:v>
                </c:pt>
                <c:pt idx="6">
                  <c:v>Quality Assurance</c:v>
                </c:pt>
                <c:pt idx="7">
                  <c:v>Total Result</c:v>
                </c:pt>
              </c:strCache>
            </c:strRef>
          </c:cat>
          <c:val>
            <c:numRef>
              <c:f>PivotTables!$C$60:$C$67</c:f>
              <c:numCache>
                <c:formatCode>General</c:formatCode>
                <c:ptCount val="8"/>
                <c:pt idx="0">
                  <c:v>13</c:v>
                </c:pt>
                <c:pt idx="1">
                  <c:v>13</c:v>
                </c:pt>
                <c:pt idx="2">
                  <c:v>24</c:v>
                </c:pt>
                <c:pt idx="3">
                  <c:v>14</c:v>
                </c:pt>
                <c:pt idx="4">
                  <c:v>17</c:v>
                </c:pt>
                <c:pt idx="5">
                  <c:v>14</c:v>
                </c:pt>
                <c:pt idx="6">
                  <c:v>13</c:v>
                </c:pt>
                <c:pt idx="7">
                  <c:v>108</c:v>
                </c:pt>
              </c:numCache>
            </c:numRef>
          </c:val>
        </c:ser>
        <c:ser>
          <c:idx val="1"/>
          <c:order val="1"/>
          <c:tx>
            <c:strRef>
              <c:f>PivotTables!$D$58:$D$59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B0E4CC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chemeClr val="bg1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PivotTables!$B$60:$B$67</c:f>
              <c:strCache>
                <c:ptCount val="8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Procurement</c:v>
                </c:pt>
                <c:pt idx="6">
                  <c:v>Quality Assurance</c:v>
                </c:pt>
                <c:pt idx="7">
                  <c:v>Total Result</c:v>
                </c:pt>
              </c:strCache>
            </c:strRef>
          </c:cat>
          <c:val>
            <c:numRef>
              <c:f>PivotTables!$D$60:$D$67</c:f>
              <c:numCache>
                <c:formatCode>General</c:formatCode>
                <c:ptCount val="8"/>
                <c:pt idx="0">
                  <c:v>22</c:v>
                </c:pt>
                <c:pt idx="1">
                  <c:v>11</c:v>
                </c:pt>
                <c:pt idx="2">
                  <c:v>12</c:v>
                </c:pt>
                <c:pt idx="3">
                  <c:v>15</c:v>
                </c:pt>
                <c:pt idx="4">
                  <c:v>14</c:v>
                </c:pt>
                <c:pt idx="5">
                  <c:v>15</c:v>
                </c:pt>
                <c:pt idx="6">
                  <c:v>7</c:v>
                </c:pt>
                <c:pt idx="7">
                  <c:v>96</c:v>
                </c:pt>
              </c:numCache>
            </c:numRef>
          </c:val>
        </c:ser>
        <c:ser>
          <c:idx val="2"/>
          <c:order val="2"/>
          <c:tx>
            <c:strRef>
              <c:f>PivotTables!$E$58:$E$59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rgbClr val="9BBB59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chemeClr val="bg1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PivotTables!$B$60:$B$67</c:f>
              <c:strCache>
                <c:ptCount val="8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Procurement</c:v>
                </c:pt>
                <c:pt idx="6">
                  <c:v>Quality Assurance</c:v>
                </c:pt>
                <c:pt idx="7">
                  <c:v>Total Result</c:v>
                </c:pt>
              </c:strCache>
            </c:strRef>
          </c:cat>
          <c:val>
            <c:numRef>
              <c:f>PivotTables!$E$60:$E$67</c:f>
              <c:numCache>
                <c:formatCode>General</c:formatCode>
                <c:ptCount val="8"/>
                <c:pt idx="0">
                  <c:v>12</c:v>
                </c:pt>
                <c:pt idx="1">
                  <c:v>12</c:v>
                </c:pt>
                <c:pt idx="2">
                  <c:v>14</c:v>
                </c:pt>
                <c:pt idx="3">
                  <c:v>20</c:v>
                </c:pt>
                <c:pt idx="4">
                  <c:v>15</c:v>
                </c:pt>
                <c:pt idx="5">
                  <c:v>12</c:v>
                </c:pt>
                <c:pt idx="6">
                  <c:v>14</c:v>
                </c:pt>
                <c:pt idx="7">
                  <c:v>99</c:v>
                </c:pt>
              </c:numCache>
            </c:numRef>
          </c:val>
        </c:ser>
        <c:ser>
          <c:idx val="3"/>
          <c:order val="3"/>
          <c:tx>
            <c:strRef>
              <c:f>PivotTables!$F$58:$F$59</c:f>
              <c:strCache>
                <c:ptCount val="1"/>
                <c:pt idx="0">
                  <c:v>Not Set</c:v>
                </c:pt>
              </c:strCache>
            </c:strRef>
          </c:tx>
          <c:spPr>
            <a:solidFill>
              <a:srgbClr val="3B6426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chemeClr val="bg1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PivotTables!$B$60:$B$67</c:f>
              <c:strCache>
                <c:ptCount val="8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Procurement</c:v>
                </c:pt>
                <c:pt idx="6">
                  <c:v>Quality Assurance</c:v>
                </c:pt>
                <c:pt idx="7">
                  <c:v>Total Result</c:v>
                </c:pt>
              </c:strCache>
            </c:strRef>
          </c:cat>
          <c:val>
            <c:numRef>
              <c:f>PivotTables!$F$60:$F$67</c:f>
              <c:numCache>
                <c:formatCode>General</c:formatCode>
                <c:ptCount val="8"/>
                <c:pt idx="1">
                  <c:v>2</c:v>
                </c:pt>
                <c:pt idx="2">
                  <c:v>2</c:v>
                </c:pt>
                <c:pt idx="4">
                  <c:v>1</c:v>
                </c:pt>
                <c:pt idx="5">
                  <c:v>1</c:v>
                </c:pt>
                <c:pt idx="7">
                  <c:v>6</c:v>
                </c:pt>
              </c:numCache>
            </c:numRef>
          </c:val>
        </c:ser>
        <c:gapWidth val="219"/>
        <c:overlap val="-27"/>
        <c:axId val="17817804"/>
        <c:axId val="35781682"/>
      </c:barChart>
      <c:catAx>
        <c:axId val="178178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 rot="-2700000"/>
          <a:lstStyle/>
          <a:p>
            <a:pPr>
              <a:defRPr sz="900" b="0" u="none" strike="noStrike">
                <a:solidFill>
                  <a:schemeClr val="bg1"/>
                </a:solidFill>
                <a:uFillTx/>
                <a:latin typeface="Calibri"/>
              </a:defRPr>
            </a:pPr>
          </a:p>
        </c:txPr>
        <c:crossAx val="35781682"/>
        <c:crosses val="autoZero"/>
        <c:auto val="1"/>
        <c:lblAlgn val="ctr"/>
        <c:lblOffset val="100"/>
        <c:noMultiLvlLbl val="0"/>
      </c:catAx>
      <c:valAx>
        <c:axId val="3578168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B0E4CC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bg1"/>
                </a:solidFill>
                <a:uFillTx/>
                <a:latin typeface="Calibri"/>
              </a:defRPr>
            </a:pPr>
          </a:p>
        </c:txPr>
        <c:crossAx val="17817804"/>
        <c:crossesAt val="1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48712692578327"/>
          <c:y val="0.129892463320653"/>
          <c:w val="0.242770153786133"/>
          <c:h val="0.0919085600166969"/>
        </c:manualLayout>
      </c:layout>
      <c:overlay val="0"/>
      <c:spPr>
        <a:noFill/>
        <a:ln w="15840">
          <a:noFill/>
        </a:ln>
      </c:spPr>
      <c:txPr>
        <a:bodyPr/>
        <a:lstStyle/>
        <a:p>
          <a:pPr>
            <a:defRPr sz="900" b="0" u="none" strike="noStrike">
              <a:solidFill>
                <a:schemeClr val="bg1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noFill/>
    <a:ln w="15840">
      <a:solidFill>
        <a:srgbClr val="285A48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0" u="none" strike="noStrike">
                <a:solidFill>
                  <a:srgbClr val="B0E4CC"/>
                </a:solidFill>
                <a:uFillTx/>
                <a:latin typeface="Calibri"/>
              </a:rPr>
              <a:t>Top 5 Employees</a:t>
            </a:r>
          </a:p>
        </c:rich>
      </c:tx>
      <c:layout>
        <c:manualLayout>
          <c:xMode val="edge"/>
          <c:yMode val="edge"/>
          <c:x val="0.166497203863752"/>
          <c:y val="0.0302190185749931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899847483477377"/>
          <c:y val="0.160937066814527"/>
          <c:w val="0.815073716319268"/>
          <c:h val="0.759772664263931"/>
        </c:manualLayout>
      </c:layout>
      <c:pieChart>
        <c:varyColors val="1"/>
        <c:ser>
          <c:idx val="0"/>
          <c:order val="0"/>
          <c:tx>
            <c:strRef>
              <c:f>PivotTables!$C$83</c:f>
              <c:strCache>
                <c:ptCount val="1"/>
                <c:pt idx="0">
                  <c:v>Sum of Actual_Cost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85A48"/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1"/>
            <c:spPr>
              <a:solidFill>
                <a:srgbClr val="408A71"/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3"/>
            <c:spPr>
              <a:solidFill>
                <a:srgbClr val="3B6426"/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4"/>
            <c:spPr>
              <a:solidFill>
                <a:srgbClr val="B0E4CC"/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layout>
                <c:manualLayout>
                  <c:x val="-0.179861675491524"/>
                  <c:y val="0.196384603229879"/>
                </c:manualLayout>
              </c:layout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layout>
                <c:manualLayout>
                  <c:x val="0.151064318844149"/>
                  <c:y val="0.214594286117533"/>
                </c:manualLayout>
              </c:layout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900" b="0" u="none" strike="noStrike">
                    <a:solidFill>
                      <a:schemeClr val="bg1"/>
                    </a:solidFill>
                    <a:uFillTx/>
                    <a:latin typeface="Calibri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eparator>
</c:separator>
            <c:showLeaderLines val="0"/>
          </c:dLbls>
          <c:cat>
            <c:strRef>
              <c:f>PivotTables!$B$84:$B$89</c:f>
              <c:strCache>
                <c:ptCount val="6"/>
                <c:pt idx="0">
                  <c:v>Hassan Fouad</c:v>
                </c:pt>
                <c:pt idx="1">
                  <c:v>Noor Naguib</c:v>
                </c:pt>
                <c:pt idx="2">
                  <c:v>Sherif Ibrahim</c:v>
                </c:pt>
                <c:pt idx="3">
                  <c:v>Tarek Shawky</c:v>
                </c:pt>
                <c:pt idx="4">
                  <c:v>Khaled Naguib</c:v>
                </c:pt>
                <c:pt idx="5">
                  <c:v>Total Result</c:v>
                </c:pt>
              </c:strCache>
            </c:strRef>
          </c:cat>
          <c:val>
            <c:numRef>
              <c:f>PivotTables!$C$84:$C$89</c:f>
              <c:numCache>
                <c:formatCode>\$#,##0</c:formatCode>
                <c:ptCount val="6"/>
                <c:pt idx="0">
                  <c:v>65635</c:v>
                </c:pt>
                <c:pt idx="1">
                  <c:v>64193</c:v>
                </c:pt>
                <c:pt idx="2">
                  <c:v>58857</c:v>
                </c:pt>
                <c:pt idx="3">
                  <c:v>49862</c:v>
                </c:pt>
                <c:pt idx="4">
                  <c:v>47894</c:v>
                </c:pt>
                <c:pt idx="5">
                  <c:v>286441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plotVisOnly val="1"/>
    <c:dispBlanksAs val="gap"/>
  </c:chart>
  <c:spPr>
    <a:noFill/>
    <a:ln w="15840">
      <a:solidFill>
        <a:srgbClr val="285A48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9532039052856"/>
          <c:y val="0.134011627906977"/>
          <c:w val="0.405510043766132"/>
          <c:h val="0.799563953488372"/>
        </c:manualLayout>
      </c:layout>
      <c:radarChart>
        <c:radarStyle val="marker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Total Planned Cost</c:v>
                </c:pt>
              </c:strCache>
            </c:strRef>
          </c:tx>
          <c:spPr>
            <a:solidFill>
              <a:srgbClr val="408A71"/>
            </a:solidFill>
            <a:ln cap="rnd" w="15840">
              <a:solidFill>
                <a:srgbClr val="408A71"/>
              </a:solidFill>
              <a:round/>
            </a:ln>
          </c:spPr>
          <c:marker>
            <c:symbol val="circle"/>
            <c:size val="4"/>
            <c:spPr>
              <a:solidFill>
                <a:srgbClr val="408A7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chemeClr val="bg1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5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5"/>
                <c:pt idx="0">
                  <c:v>Brand Refresh Campaign</c:v>
                </c:pt>
                <c:pt idx="1">
                  <c:v>Cloud Migration</c:v>
                </c:pt>
                <c:pt idx="2">
                  <c:v>CRM Migration</c:v>
                </c:pt>
                <c:pt idx="3">
                  <c:v>Customer Portal Upgrade</c:v>
                </c:pt>
                <c:pt idx="4">
                  <c:v>Data Center Upgrade</c:v>
                </c:pt>
                <c:pt idx="5">
                  <c:v>ERP System Rollout</c:v>
                </c:pt>
                <c:pt idx="6">
                  <c:v>HR System Implementation</c:v>
                </c:pt>
                <c:pt idx="7">
                  <c:v>Mobile App Launch</c:v>
                </c:pt>
                <c:pt idx="8">
                  <c:v>Network Security Overhaul</c:v>
                </c:pt>
                <c:pt idx="9">
                  <c:v>Office Relocation</c:v>
                </c:pt>
                <c:pt idx="10">
                  <c:v>Product Line Expansion</c:v>
                </c:pt>
                <c:pt idx="11">
                  <c:v>Retail Store Opening</c:v>
                </c:pt>
                <c:pt idx="12">
                  <c:v>Supply Chain Optimization</c:v>
                </c:pt>
                <c:pt idx="13">
                  <c:v>Warehouse Automation</c:v>
                </c:pt>
                <c:pt idx="14">
                  <c:v>Website Redesign</c:v>
                </c:pt>
              </c:strCache>
            </c:strRef>
          </c:cat>
          <c:val>
            <c:numRef>
              <c:f>0</c:f>
              <c:numCache>
                <c:formatCode>\$#,##0;"($"#,##0\);\$#,##0</c:formatCode>
                <c:ptCount val="15"/>
                <c:pt idx="0">
                  <c:v>70000</c:v>
                </c:pt>
                <c:pt idx="1">
                  <c:v>66000</c:v>
                </c:pt>
                <c:pt idx="2">
                  <c:v>109500</c:v>
                </c:pt>
                <c:pt idx="3">
                  <c:v>85500</c:v>
                </c:pt>
                <c:pt idx="4">
                  <c:v>90000</c:v>
                </c:pt>
                <c:pt idx="5">
                  <c:v>97500</c:v>
                </c:pt>
                <c:pt idx="6">
                  <c:v>106000</c:v>
                </c:pt>
                <c:pt idx="7">
                  <c:v>98000</c:v>
                </c:pt>
                <c:pt idx="8">
                  <c:v>94000</c:v>
                </c:pt>
                <c:pt idx="9">
                  <c:v>93000</c:v>
                </c:pt>
                <c:pt idx="10">
                  <c:v>77500</c:v>
                </c:pt>
                <c:pt idx="11">
                  <c:v>93000</c:v>
                </c:pt>
                <c:pt idx="12">
                  <c:v>74000</c:v>
                </c:pt>
                <c:pt idx="13">
                  <c:v>78500</c:v>
                </c:pt>
                <c:pt idx="14">
                  <c:v>50000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Total Actual Cost</c:v>
                </c:pt>
              </c:strCache>
            </c:strRef>
          </c:tx>
          <c:spPr>
            <a:solidFill>
              <a:srgbClr val="B0E4CC"/>
            </a:solidFill>
            <a:ln cap="rnd" w="15840">
              <a:solidFill>
                <a:srgbClr val="B0E4CC"/>
              </a:solidFill>
              <a:round/>
            </a:ln>
          </c:spPr>
          <c:marker>
            <c:symbol val="circle"/>
            <c:size val="4"/>
            <c:spPr>
              <a:solidFill>
                <a:srgbClr val="B0E4CC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chemeClr val="bg1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5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5"/>
                <c:pt idx="0">
                  <c:v>Brand Refresh Campaign</c:v>
                </c:pt>
                <c:pt idx="1">
                  <c:v>Cloud Migration</c:v>
                </c:pt>
                <c:pt idx="2">
                  <c:v>CRM Migration</c:v>
                </c:pt>
                <c:pt idx="3">
                  <c:v>Customer Portal Upgrade</c:v>
                </c:pt>
                <c:pt idx="4">
                  <c:v>Data Center Upgrade</c:v>
                </c:pt>
                <c:pt idx="5">
                  <c:v>ERP System Rollout</c:v>
                </c:pt>
                <c:pt idx="6">
                  <c:v>HR System Implementation</c:v>
                </c:pt>
                <c:pt idx="7">
                  <c:v>Mobile App Launch</c:v>
                </c:pt>
                <c:pt idx="8">
                  <c:v>Network Security Overhaul</c:v>
                </c:pt>
                <c:pt idx="9">
                  <c:v>Office Relocation</c:v>
                </c:pt>
                <c:pt idx="10">
                  <c:v>Product Line Expansion</c:v>
                </c:pt>
                <c:pt idx="11">
                  <c:v>Retail Store Opening</c:v>
                </c:pt>
                <c:pt idx="12">
                  <c:v>Supply Chain Optimization</c:v>
                </c:pt>
                <c:pt idx="13">
                  <c:v>Warehouse Automation</c:v>
                </c:pt>
                <c:pt idx="14">
                  <c:v>Website Redesign</c:v>
                </c:pt>
              </c:strCache>
            </c:strRef>
          </c:cat>
          <c:val>
            <c:numRef>
              <c:f>1</c:f>
              <c:numCache>
                <c:formatCode>\$#,##0;"($"#,##0\);\$#,##0</c:formatCode>
                <c:ptCount val="15"/>
                <c:pt idx="0">
                  <c:v>48164</c:v>
                </c:pt>
                <c:pt idx="1">
                  <c:v>49405</c:v>
                </c:pt>
                <c:pt idx="2">
                  <c:v>73502</c:v>
                </c:pt>
                <c:pt idx="3">
                  <c:v>65762</c:v>
                </c:pt>
                <c:pt idx="4">
                  <c:v>74295</c:v>
                </c:pt>
                <c:pt idx="5">
                  <c:v>71644</c:v>
                </c:pt>
                <c:pt idx="6">
                  <c:v>72504</c:v>
                </c:pt>
                <c:pt idx="7">
                  <c:v>90358</c:v>
                </c:pt>
                <c:pt idx="8">
                  <c:v>60539</c:v>
                </c:pt>
                <c:pt idx="9">
                  <c:v>74881</c:v>
                </c:pt>
                <c:pt idx="10">
                  <c:v>40791</c:v>
                </c:pt>
                <c:pt idx="11">
                  <c:v>58608</c:v>
                </c:pt>
                <c:pt idx="12">
                  <c:v>53913</c:v>
                </c:pt>
                <c:pt idx="13">
                  <c:v>67742</c:v>
                </c:pt>
                <c:pt idx="14">
                  <c:v>37614</c:v>
                </c:pt>
              </c:numCache>
            </c:numRef>
          </c:val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Cost Variance</c:v>
                </c:pt>
              </c:strCache>
            </c:strRef>
          </c:tx>
          <c:spPr>
            <a:solidFill>
              <a:srgbClr val="3B6426"/>
            </a:solidFill>
            <a:ln cap="rnd" w="15840">
              <a:solidFill>
                <a:srgbClr val="3B6426"/>
              </a:solidFill>
              <a:round/>
            </a:ln>
          </c:spPr>
          <c:marker>
            <c:symbol val="circle"/>
            <c:size val="4"/>
            <c:spPr>
              <a:solidFill>
                <a:srgbClr val="3B6426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chemeClr val="bg1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5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5"/>
                <c:pt idx="0">
                  <c:v>Brand Refresh Campaign</c:v>
                </c:pt>
                <c:pt idx="1">
                  <c:v>Cloud Migration</c:v>
                </c:pt>
                <c:pt idx="2">
                  <c:v>CRM Migration</c:v>
                </c:pt>
                <c:pt idx="3">
                  <c:v>Customer Portal Upgrade</c:v>
                </c:pt>
                <c:pt idx="4">
                  <c:v>Data Center Upgrade</c:v>
                </c:pt>
                <c:pt idx="5">
                  <c:v>ERP System Rollout</c:v>
                </c:pt>
                <c:pt idx="6">
                  <c:v>HR System Implementation</c:v>
                </c:pt>
                <c:pt idx="7">
                  <c:v>Mobile App Launch</c:v>
                </c:pt>
                <c:pt idx="8">
                  <c:v>Network Security Overhaul</c:v>
                </c:pt>
                <c:pt idx="9">
                  <c:v>Office Relocation</c:v>
                </c:pt>
                <c:pt idx="10">
                  <c:v>Product Line Expansion</c:v>
                </c:pt>
                <c:pt idx="11">
                  <c:v>Retail Store Opening</c:v>
                </c:pt>
                <c:pt idx="12">
                  <c:v>Supply Chain Optimization</c:v>
                </c:pt>
                <c:pt idx="13">
                  <c:v>Warehouse Automation</c:v>
                </c:pt>
                <c:pt idx="14">
                  <c:v>Website Redesign</c:v>
                </c:pt>
              </c:strCache>
            </c:strRef>
          </c:cat>
          <c:val>
            <c:numRef>
              <c:f>2</c:f>
              <c:numCache>
                <c:formatCode>\$#,##0;"($"#,##0\);\$#,##0</c:formatCode>
                <c:ptCount val="15"/>
                <c:pt idx="0">
                  <c:v>-21836</c:v>
                </c:pt>
                <c:pt idx="1">
                  <c:v>-16595</c:v>
                </c:pt>
                <c:pt idx="2">
                  <c:v>-35998</c:v>
                </c:pt>
                <c:pt idx="3">
                  <c:v>-19738</c:v>
                </c:pt>
                <c:pt idx="4">
                  <c:v>-15705</c:v>
                </c:pt>
                <c:pt idx="5">
                  <c:v>-25856</c:v>
                </c:pt>
                <c:pt idx="6">
                  <c:v>-33496</c:v>
                </c:pt>
                <c:pt idx="7">
                  <c:v>-7642</c:v>
                </c:pt>
                <c:pt idx="8">
                  <c:v>-33461</c:v>
                </c:pt>
                <c:pt idx="9">
                  <c:v>-18119</c:v>
                </c:pt>
                <c:pt idx="10">
                  <c:v>-36709</c:v>
                </c:pt>
                <c:pt idx="11">
                  <c:v>-34392</c:v>
                </c:pt>
                <c:pt idx="12">
                  <c:v>-20087</c:v>
                </c:pt>
                <c:pt idx="13">
                  <c:v>-10758</c:v>
                </c:pt>
                <c:pt idx="14">
                  <c:v>-12386</c:v>
                </c:pt>
              </c:numCache>
            </c:numRef>
          </c:val>
        </c:ser>
        <c:axId val="46012582"/>
        <c:axId val="55686201"/>
      </c:radarChart>
      <c:catAx>
        <c:axId val="46012582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800" b="0" u="none" strike="noStrike">
                <a:solidFill>
                  <a:schemeClr val="bg1"/>
                </a:solidFill>
                <a:uFillTx/>
                <a:latin typeface="Calibri"/>
              </a:defRPr>
            </a:pPr>
          </a:p>
        </c:txPr>
        <c:crossAx val="55686201"/>
        <c:crosses val="autoZero"/>
        <c:auto val="1"/>
        <c:lblAlgn val="ctr"/>
        <c:lblOffset val="100"/>
        <c:noMultiLvlLbl val="0"/>
      </c:catAx>
      <c:valAx>
        <c:axId val="55686201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\$#,##0;&quot;($&quot;#,##0\);\$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bg1"/>
                </a:solidFill>
                <a:uFillTx/>
                <a:latin typeface="Calibri"/>
              </a:defRPr>
            </a:pPr>
          </a:p>
        </c:txPr>
        <c:crossAx val="46012582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540992945336"/>
          <c:y val="0.0265344307001984"/>
          <c:w val="0.229564169142874"/>
          <c:h val="0.1708282009397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bg1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noFill/>
    <a:ln w="15840">
      <a:solidFill>
        <a:srgbClr val="285A48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50000"/>
        <a:lumOff val="50000"/>
      </a:schemeClr>
    </cs:fontRef>
    <a:defRPr sz="900" b="0" u="none" strike="noStrike" cap="all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50000"/>
        <a:lumOff val="50000"/>
      </a:schemeClr>
    </cs:fontRef>
    <a:defRPr sz="900" b="0" u="none" strike="noStrike" cap="all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Relationship Id="rId6" Type="http://schemas.openxmlformats.org/officeDocument/2006/relationships/image" Target="../media/image1.png"/><Relationship Id="rId7" Type="http://schemas.openxmlformats.org/officeDocument/2006/relationships/image" Target="../media/image2.svg"/><Relationship Id="rId8" Type="http://schemas.openxmlformats.org/officeDocument/2006/relationships/image" Target="../media/image3.png"/><Relationship Id="rId9" Type="http://schemas.openxmlformats.org/officeDocument/2006/relationships/image" Target="../media/image4.svg"/><Relationship Id="rId10" Type="http://schemas.openxmlformats.org/officeDocument/2006/relationships/image" Target="../media/image5.png"/><Relationship Id="rId11" Type="http://schemas.openxmlformats.org/officeDocument/2006/relationships/image" Target="../media/image6.sv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700920</xdr:colOff>
      <xdr:row>5</xdr:row>
      <xdr:rowOff>11520</xdr:rowOff>
    </xdr:from>
    <xdr:to>
      <xdr:col>17</xdr:col>
      <xdr:colOff>1020600</xdr:colOff>
      <xdr:row>21</xdr:row>
      <xdr:rowOff>7200</xdr:rowOff>
    </xdr:to>
    <xdr:graphicFrame>
      <xdr:nvGraphicFramePr>
        <xdr:cNvPr id="1" name="Chart 1"/>
        <xdr:cNvGraphicFramePr/>
      </xdr:nvGraphicFramePr>
      <xdr:xfrm>
        <a:off x="8797320" y="925920"/>
        <a:ext cx="9888480" cy="2891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700920</xdr:colOff>
      <xdr:row>28</xdr:row>
      <xdr:rowOff>172800</xdr:rowOff>
    </xdr:from>
    <xdr:to>
      <xdr:col>16</xdr:col>
      <xdr:colOff>131760</xdr:colOff>
      <xdr:row>47</xdr:row>
      <xdr:rowOff>9720</xdr:rowOff>
    </xdr:to>
    <xdr:graphicFrame>
      <xdr:nvGraphicFramePr>
        <xdr:cNvPr id="2" name="Chart 2"/>
        <xdr:cNvGraphicFramePr/>
      </xdr:nvGraphicFramePr>
      <xdr:xfrm>
        <a:off x="8797320" y="5249520"/>
        <a:ext cx="7770240" cy="32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250560</xdr:colOff>
      <xdr:row>53</xdr:row>
      <xdr:rowOff>62280</xdr:rowOff>
    </xdr:from>
    <xdr:to>
      <xdr:col>16</xdr:col>
      <xdr:colOff>49680</xdr:colOff>
      <xdr:row>68</xdr:row>
      <xdr:rowOff>97920</xdr:rowOff>
    </xdr:to>
    <xdr:graphicFrame>
      <xdr:nvGraphicFramePr>
        <xdr:cNvPr id="3" name="Chart 3"/>
        <xdr:cNvGraphicFramePr/>
      </xdr:nvGraphicFramePr>
      <xdr:xfrm>
        <a:off x="8346960" y="9663480"/>
        <a:ext cx="8138520" cy="2750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186840</xdr:colOff>
      <xdr:row>69</xdr:row>
      <xdr:rowOff>26640</xdr:rowOff>
    </xdr:from>
    <xdr:to>
      <xdr:col>14</xdr:col>
      <xdr:colOff>952200</xdr:colOff>
      <xdr:row>84</xdr:row>
      <xdr:rowOff>179280</xdr:rowOff>
    </xdr:to>
    <xdr:graphicFrame>
      <xdr:nvGraphicFramePr>
        <xdr:cNvPr id="4" name="Chart 4"/>
        <xdr:cNvGraphicFramePr/>
      </xdr:nvGraphicFramePr>
      <xdr:xfrm>
        <a:off x="10036800" y="12523320"/>
        <a:ext cx="5369760" cy="286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82080</xdr:colOff>
      <xdr:row>20</xdr:row>
      <xdr:rowOff>112680</xdr:rowOff>
    </xdr:from>
    <xdr:to>
      <xdr:col>7</xdr:col>
      <xdr:colOff>1135440</xdr:colOff>
      <xdr:row>28</xdr:row>
      <xdr:rowOff>26280</xdr:rowOff>
    </xdr:to>
    <xdr:sp>
      <xdr:nvSpPr>
        <xdr:cNvPr id="5" name=""/>
        <xdr:cNvSpPr/>
      </xdr:nvSpPr>
      <xdr:spPr>
        <a:xfrm>
          <a:off x="5023080" y="3741840"/>
          <a:ext cx="1843920" cy="136116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tIns="45000" rIns="90000" bIns="45000" anchor="t">
          <a:noAutofit/>
        </a:bodyPr>
        <a:p>
          <a:r>
            <a:rPr lang="en-US" sz="1100" b="0" u="none" strike="noStrike">
              <a:effectLst/>
              <a:uFillTx/>
              <a:latin typeface="Times New Roman"/>
            </a:rPr>
            <a:t>This shape represents a </a:t>
          </a:r>
          <a:r>
            <a:rPr lang="en-US" sz="1100" b="0" u="none" strike="noStrike">
              <a:effectLst/>
              <a:uFillTx/>
              <a:latin typeface="Times New Roman"/>
            </a:rPr>
            <a:t>slicer. Slicers are supported </a:t>
          </a:r>
          <a:r>
            <a:rPr lang="en-US" sz="1100" b="0" u="none" strike="noStrike">
              <a:effectLst/>
              <a:uFillTx/>
              <a:latin typeface="Times New Roman"/>
            </a:rPr>
            <a:t>in Excel 2010 or later.</a:t>
          </a:r>
          <a:endParaRPr lang="en-US" sz="1100" b="0" u="none" strike="noStrike">
            <a:effectLst/>
            <a:uFillTx/>
            <a:latin typeface="Times New Roman"/>
          </a:endParaRPr>
        </a:p>
        <a:p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u="none" strike="noStrike">
              <a:effectLst/>
              <a:uFillTx/>
              <a:latin typeface="Times New Roman"/>
            </a:rPr>
            <a:t>If the shape was modified in </a:t>
          </a:r>
          <a:r>
            <a:rPr lang="en-US" sz="1100" b="0" u="none" strike="noStrike">
              <a:effectLst/>
              <a:uFillTx/>
              <a:latin typeface="Times New Roman"/>
            </a:rPr>
            <a:t>an earlier version of Excel, </a:t>
          </a:r>
          <a:r>
            <a:rPr lang="en-US" sz="1100" b="0" u="none" strike="noStrike">
              <a:effectLst/>
              <a:uFillTx/>
              <a:latin typeface="Times New Roman"/>
            </a:rPr>
            <a:t>or if the workbook was </a:t>
          </a:r>
          <a:r>
            <a:rPr lang="en-US" sz="1100" b="0" u="none" strike="noStrike">
              <a:effectLst/>
              <a:uFillTx/>
              <a:latin typeface="Times New Roman"/>
            </a:rPr>
            <a:t>saved in Excel 2003 or </a:t>
          </a:r>
          <a:r>
            <a:rPr lang="en-US" sz="1100" b="0" u="none" strike="noStrike">
              <a:effectLst/>
              <a:uFillTx/>
              <a:latin typeface="Times New Roman"/>
            </a:rPr>
            <a:t>earlier, the slicer cannot be </a:t>
          </a:r>
          <a:r>
            <a:rPr lang="en-US" sz="1100" b="0" u="none" strike="noStrike">
              <a:effectLst/>
              <a:uFillTx/>
              <a:latin typeface="Times New Roman"/>
            </a:rPr>
            <a:t>used.</a:t>
          </a: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1079640</xdr:colOff>
      <xdr:row>86</xdr:row>
      <xdr:rowOff>76680</xdr:rowOff>
    </xdr:from>
    <xdr:to>
      <xdr:col>15</xdr:col>
      <xdr:colOff>628560</xdr:colOff>
      <xdr:row>108</xdr:row>
      <xdr:rowOff>22320</xdr:rowOff>
    </xdr:to>
    <xdr:graphicFrame>
      <xdr:nvGraphicFramePr>
        <xdr:cNvPr id="6" name="Chart 6"/>
        <xdr:cNvGraphicFramePr/>
      </xdr:nvGraphicFramePr>
      <xdr:xfrm>
        <a:off x="9176040" y="15649920"/>
        <a:ext cx="6995520" cy="3927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29</xdr:col>
      <xdr:colOff>10800</xdr:colOff>
      <xdr:row>17</xdr:row>
      <xdr:rowOff>171720</xdr:rowOff>
    </xdr:from>
    <xdr:to>
      <xdr:col>37</xdr:col>
      <xdr:colOff>471960</xdr:colOff>
      <xdr:row>32</xdr:row>
      <xdr:rowOff>38160</xdr:rowOff>
    </xdr:to>
    <xdr:graphicFrame>
      <xdr:nvGraphicFramePr>
        <xdr:cNvPr id="7" name="Chart 7"/>
        <xdr:cNvGraphicFramePr/>
      </xdr:nvGraphicFramePr>
      <xdr:xfrm>
        <a:off x="17726040" y="3248280"/>
        <a:ext cx="5348160" cy="2581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0</xdr:colOff>
      <xdr:row>3</xdr:row>
      <xdr:rowOff>34200</xdr:rowOff>
    </xdr:from>
    <xdr:to>
      <xdr:col>36</xdr:col>
      <xdr:colOff>488520</xdr:colOff>
      <xdr:row>17</xdr:row>
      <xdr:rowOff>133560</xdr:rowOff>
    </xdr:to>
    <xdr:graphicFrame>
      <xdr:nvGraphicFramePr>
        <xdr:cNvPr id="8" name="Chart 8"/>
        <xdr:cNvGraphicFramePr/>
      </xdr:nvGraphicFramePr>
      <xdr:xfrm>
        <a:off x="17715240" y="577080"/>
        <a:ext cx="4764600" cy="2633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37</xdr:col>
      <xdr:colOff>523440</xdr:colOff>
      <xdr:row>17</xdr:row>
      <xdr:rowOff>46080</xdr:rowOff>
    </xdr:from>
    <xdr:to>
      <xdr:col>45</xdr:col>
      <xdr:colOff>552600</xdr:colOff>
      <xdr:row>32</xdr:row>
      <xdr:rowOff>27360</xdr:rowOff>
    </xdr:to>
    <xdr:graphicFrame>
      <xdr:nvGraphicFramePr>
        <xdr:cNvPr id="9" name="Chart 9"/>
        <xdr:cNvGraphicFramePr/>
      </xdr:nvGraphicFramePr>
      <xdr:xfrm>
        <a:off x="23125680" y="3122640"/>
        <a:ext cx="4853160" cy="2696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46</xdr:col>
      <xdr:colOff>0</xdr:colOff>
      <xdr:row>17</xdr:row>
      <xdr:rowOff>45360</xdr:rowOff>
    </xdr:from>
    <xdr:to>
      <xdr:col>50</xdr:col>
      <xdr:colOff>68040</xdr:colOff>
      <xdr:row>31</xdr:row>
      <xdr:rowOff>108360</xdr:rowOff>
    </xdr:to>
    <xdr:graphicFrame>
      <xdr:nvGraphicFramePr>
        <xdr:cNvPr id="10" name="Chart 10"/>
        <xdr:cNvGraphicFramePr/>
      </xdr:nvGraphicFramePr>
      <xdr:xfrm>
        <a:off x="28037160" y="3121920"/>
        <a:ext cx="2832120" cy="2596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36</xdr:col>
      <xdr:colOff>557640</xdr:colOff>
      <xdr:row>3</xdr:row>
      <xdr:rowOff>54360</xdr:rowOff>
    </xdr:from>
    <xdr:to>
      <xdr:col>47</xdr:col>
      <xdr:colOff>144360</xdr:colOff>
      <xdr:row>16</xdr:row>
      <xdr:rowOff>178200</xdr:rowOff>
    </xdr:to>
    <xdr:graphicFrame>
      <xdr:nvGraphicFramePr>
        <xdr:cNvPr id="11" name="Chart 11"/>
        <xdr:cNvGraphicFramePr/>
      </xdr:nvGraphicFramePr>
      <xdr:xfrm>
        <a:off x="22548960" y="597240"/>
        <a:ext cx="6415560" cy="247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twoCell">
    <xdr:from>
      <xdr:col>28</xdr:col>
      <xdr:colOff>502920</xdr:colOff>
      <xdr:row>2</xdr:row>
      <xdr:rowOff>167760</xdr:rowOff>
    </xdr:from>
    <xdr:to>
      <xdr:col>50</xdr:col>
      <xdr:colOff>151920</xdr:colOff>
      <xdr:row>32</xdr:row>
      <xdr:rowOff>106560</xdr:rowOff>
    </xdr:to>
    <xdr:sp>
      <xdr:nvSpPr>
        <xdr:cNvPr id="12" name="Rectangle: Rounded Corners 12"/>
        <xdr:cNvSpPr/>
      </xdr:nvSpPr>
      <xdr:spPr>
        <a:xfrm>
          <a:off x="17607240" y="529560"/>
          <a:ext cx="13345920" cy="5368320"/>
        </a:xfrm>
        <a:prstGeom prst="roundRect">
          <a:avLst>
            <a:gd name="adj" fmla="val 4307"/>
          </a:avLst>
        </a:prstGeom>
        <a:noFill/>
        <a:ln w="25400">
          <a:solidFill>
            <a:srgbClr val="285A48"/>
          </a:solidFill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47</xdr:col>
      <xdr:colOff>228960</xdr:colOff>
      <xdr:row>3</xdr:row>
      <xdr:rowOff>133200</xdr:rowOff>
    </xdr:from>
    <xdr:to>
      <xdr:col>50</xdr:col>
      <xdr:colOff>97200</xdr:colOff>
      <xdr:row>10</xdr:row>
      <xdr:rowOff>47160</xdr:rowOff>
    </xdr:to>
    <xdr:sp>
      <xdr:nvSpPr>
        <xdr:cNvPr id="13" name="Rectangle: Rounded Corners 1"/>
        <xdr:cNvSpPr/>
      </xdr:nvSpPr>
      <xdr:spPr>
        <a:xfrm>
          <a:off x="29049120" y="676080"/>
          <a:ext cx="1849320" cy="1180800"/>
        </a:xfrm>
        <a:prstGeom prst="roundRect">
          <a:avLst>
            <a:gd name="adj" fmla="val 16667"/>
          </a:avLst>
        </a:prstGeom>
        <a:noFill/>
        <a:ln w="25400">
          <a:solidFill>
            <a:srgbClr val="285A48"/>
          </a:solidFill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tIns="45000" rIns="90000" bIns="45000" anchor="t">
          <a:noAutofit/>
        </a:bodyPr>
        <a:p>
          <a:pPr defTabSz="914400">
            <a:lnSpc>
              <a:spcPct val="100000"/>
            </a:lnSpc>
            <a:tabLst>
              <a:tab pos="0" algn="l"/>
            </a:tabLst>
          </a:pPr>
          <a:endParaRPr lang="en-US" sz="18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pos="0" algn="l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pos="0" algn="l"/>
            </a:tabLst>
          </a:pP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47</xdr:col>
      <xdr:colOff>204480</xdr:colOff>
      <xdr:row>10</xdr:row>
      <xdr:rowOff>142920</xdr:rowOff>
    </xdr:from>
    <xdr:to>
      <xdr:col>50</xdr:col>
      <xdr:colOff>42120</xdr:colOff>
      <xdr:row>16</xdr:row>
      <xdr:rowOff>123480</xdr:rowOff>
    </xdr:to>
    <xdr:sp textlink="PQ_Output!AG11">
      <xdr:nvSpPr>
        <xdr:cNvPr id="14" name="Rectangle: Rounded Corners 2"/>
        <xdr:cNvSpPr/>
      </xdr:nvSpPr>
      <xdr:spPr>
        <a:xfrm>
          <a:off x="29024640" y="1952640"/>
          <a:ext cx="1818720" cy="1066320"/>
        </a:xfrm>
        <a:prstGeom prst="roundRect">
          <a:avLst>
            <a:gd name="adj" fmla="val 16667"/>
          </a:avLst>
        </a:prstGeom>
        <a:noFill/>
        <a:ln w="25400">
          <a:solidFill>
            <a:srgbClr val="285A48"/>
          </a:solidFill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41</xdr:col>
      <xdr:colOff>104760</xdr:colOff>
      <xdr:row>20</xdr:row>
      <xdr:rowOff>59040</xdr:rowOff>
    </xdr:from>
    <xdr:to>
      <xdr:col>41</xdr:col>
      <xdr:colOff>150120</xdr:colOff>
      <xdr:row>20</xdr:row>
      <xdr:rowOff>104400</xdr:rowOff>
    </xdr:to>
    <xdr:sp>
      <xdr:nvSpPr>
        <xdr:cNvPr id="15" name="TextBox 4"/>
        <xdr:cNvSpPr/>
      </xdr:nvSpPr>
      <xdr:spPr>
        <a:xfrm>
          <a:off x="25087680" y="3678480"/>
          <a:ext cx="45360" cy="45360"/>
        </a:xfrm>
        <a:prstGeom prst="rect">
          <a:avLst/>
        </a:prstGeom>
        <a:solidFill>
          <a:srgbClr val="FFFFFF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26</xdr:col>
      <xdr:colOff>307800</xdr:colOff>
      <xdr:row>0</xdr:row>
      <xdr:rowOff>84600</xdr:rowOff>
    </xdr:from>
    <xdr:to>
      <xdr:col>28</xdr:col>
      <xdr:colOff>441360</xdr:colOff>
      <xdr:row>32</xdr:row>
      <xdr:rowOff>160200</xdr:rowOff>
    </xdr:to>
    <xdr:sp>
      <xdr:nvSpPr>
        <xdr:cNvPr id="16" name="Rectangle: Rounded Corners 6"/>
        <xdr:cNvSpPr/>
      </xdr:nvSpPr>
      <xdr:spPr>
        <a:xfrm>
          <a:off x="16190280" y="84600"/>
          <a:ext cx="1355400" cy="5866920"/>
        </a:xfrm>
        <a:prstGeom prst="roundRect">
          <a:avLst>
            <a:gd name="adj" fmla="val 16667"/>
          </a:avLst>
        </a:prstGeom>
        <a:noFill/>
        <a:ln w="25400">
          <a:solidFill>
            <a:srgbClr val="285A48"/>
          </a:solidFill>
          <a:round/>
        </a:ln>
        <a:effectLst>
          <a:outerShdw algn="tl" blurRad="50760" dir="2700000" dist="37674" rotWithShape="0">
            <a:srgbClr val="00000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28</xdr:col>
      <xdr:colOff>505080</xdr:colOff>
      <xdr:row>0</xdr:row>
      <xdr:rowOff>83880</xdr:rowOff>
    </xdr:from>
    <xdr:to>
      <xdr:col>50</xdr:col>
      <xdr:colOff>113760</xdr:colOff>
      <xdr:row>2</xdr:row>
      <xdr:rowOff>121680</xdr:rowOff>
    </xdr:to>
    <xdr:sp>
      <xdr:nvSpPr>
        <xdr:cNvPr id="17" name="Rectangle: Rounded Corners 13"/>
        <xdr:cNvSpPr/>
      </xdr:nvSpPr>
      <xdr:spPr>
        <a:xfrm>
          <a:off x="17609400" y="83880"/>
          <a:ext cx="13305600" cy="399600"/>
        </a:xfrm>
        <a:prstGeom prst="roundRect">
          <a:avLst>
            <a:gd name="adj" fmla="val 16667"/>
          </a:avLst>
        </a:prstGeom>
        <a:noFill/>
        <a:ln w="25400">
          <a:solidFill>
            <a:srgbClr val="285A48"/>
          </a:solidFill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29</xdr:col>
      <xdr:colOff>38160</xdr:colOff>
      <xdr:row>0</xdr:row>
      <xdr:rowOff>129600</xdr:rowOff>
    </xdr:from>
    <xdr:to>
      <xdr:col>50</xdr:col>
      <xdr:colOff>60840</xdr:colOff>
      <xdr:row>2</xdr:row>
      <xdr:rowOff>75960</xdr:rowOff>
    </xdr:to>
    <xdr:sp>
      <xdr:nvSpPr>
        <xdr:cNvPr id="18" name="TextBox 15"/>
        <xdr:cNvSpPr/>
      </xdr:nvSpPr>
      <xdr:spPr>
        <a:xfrm>
          <a:off x="17753400" y="129600"/>
          <a:ext cx="13108680" cy="308160"/>
        </a:xfrm>
        <a:prstGeom prst="rect">
          <a:avLst/>
        </a:prstGeom>
        <a:noFill/>
        <a:ln w="9525">
          <a:noFill/>
        </a:ln>
        <a:effectLst>
          <a:outerShdw algn="tl" blurRad="50760" dir="2700000" dist="37674" rotWithShape="0">
            <a:srgbClr val="000000">
              <a:alpha val="40000"/>
            </a:srgbClr>
          </a:outerShdw>
        </a:effectLst>
      </xdr:spPr>
      <xdr:style>
        <a:lnRef idx="0"/>
        <a:fillRef idx="0"/>
        <a:effectRef idx="0"/>
        <a:fontRef idx="minor"/>
      </xdr:style>
      <xdr:txBody>
        <a:bodyPr horzOverflow="clip" vertOverflow="clip" lIns="90000" tIns="45000" rIns="90000" bIns="45000" anchor="b">
          <a:noAutofit/>
        </a:bodyPr>
        <a:p>
          <a:pPr algn="ctr">
            <a:lnSpc>
              <a:spcPct val="100000"/>
            </a:lnSpc>
          </a:pPr>
          <a:r>
            <a:rPr lang="en-US" sz="1800" b="0" u="none" strike="noStrike">
              <a:solidFill>
                <a:srgbClr val="B0E4CC"/>
              </a:solidFill>
              <a:effectLst/>
              <a:uFillTx/>
              <a:latin typeface="Calibri"/>
            </a:rPr>
            <a:t>Project Cost, </a:t>
          </a:r>
          <a:r>
            <a:rPr lang="en-US" sz="1800" b="0" u="none" strike="noStrike">
              <a:solidFill>
                <a:srgbClr val="B0E4CC"/>
              </a:solidFill>
              <a:effectLst/>
              <a:uFillTx/>
              <a:latin typeface="Calibri"/>
            </a:rPr>
            <a:t>Status &amp; Delay </a:t>
          </a:r>
          <a:r>
            <a:rPr lang="en-US" sz="1800" b="0" u="none" strike="noStrike">
              <a:solidFill>
                <a:srgbClr val="B0E4CC"/>
              </a:solidFill>
              <a:effectLst/>
              <a:uFillTx/>
              <a:latin typeface="Calibri"/>
            </a:rPr>
            <a:t>Performance </a:t>
          </a:r>
          <a:r>
            <a:rPr lang="en-US" sz="1800" b="0" u="none" strike="noStrike">
              <a:solidFill>
                <a:srgbClr val="B0E4CC"/>
              </a:solidFill>
              <a:effectLst/>
              <a:uFillTx/>
              <a:latin typeface="Calibri"/>
            </a:rPr>
            <a:t>Dashboard</a:t>
          </a:r>
          <a:r>
            <a:rPr lang="en-US" sz="1050" b="0" u="none" strike="noStrike">
              <a:solidFill>
                <a:srgbClr val="B0E4CC"/>
              </a:solidFill>
              <a:effectLst/>
              <a:uFillTx/>
              <a:latin typeface="Calibri"/>
            </a:rPr>
            <a:t>(by </a:t>
          </a:r>
          <a:r>
            <a:rPr lang="en-US" sz="1050" b="0" u="none" strike="noStrike">
              <a:solidFill>
                <a:srgbClr val="B0E4CC"/>
              </a:solidFill>
              <a:effectLst/>
              <a:uFillTx/>
              <a:latin typeface="Calibri"/>
            </a:rPr>
            <a:t>Mohamed Saad)</a:t>
          </a:r>
          <a:endParaRPr lang="en-US" sz="105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28</xdr:col>
      <xdr:colOff>586800</xdr:colOff>
      <xdr:row>0</xdr:row>
      <xdr:rowOff>83880</xdr:rowOff>
    </xdr:from>
    <xdr:to>
      <xdr:col>29</xdr:col>
      <xdr:colOff>371880</xdr:colOff>
      <xdr:row>2</xdr:row>
      <xdr:rowOff>118080</xdr:rowOff>
    </xdr:to>
    <xdr:pic>
      <xdr:nvPicPr>
        <xdr:cNvPr id="19" name="Graphic 17" descr="Statistics with solid fill"/>
        <xdr:cNvPicPr/>
      </xdr:nvPicPr>
      <xdr:blipFill>
        <a:blip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/>
      </xdr:blipFill>
      <xdr:spPr>
        <a:xfrm>
          <a:off x="17691120" y="83880"/>
          <a:ext cx="396000" cy="396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26</xdr:col>
      <xdr:colOff>540720</xdr:colOff>
      <xdr:row>28</xdr:row>
      <xdr:rowOff>33120</xdr:rowOff>
    </xdr:from>
    <xdr:to>
      <xdr:col>28</xdr:col>
      <xdr:colOff>148320</xdr:colOff>
      <xdr:row>32</xdr:row>
      <xdr:rowOff>156960</xdr:rowOff>
    </xdr:to>
    <xdr:pic>
      <xdr:nvPicPr>
        <xdr:cNvPr id="20" name="Graphic 19" descr="Envelope with solid fill"/>
        <xdr:cNvPicPr/>
      </xdr:nvPicPr>
      <xdr:blipFill>
        <a:blip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/>
      </xdr:blipFill>
      <xdr:spPr>
        <a:xfrm>
          <a:off x="16423200" y="5100480"/>
          <a:ext cx="829440" cy="847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26</xdr:col>
      <xdr:colOff>338760</xdr:colOff>
      <xdr:row>6</xdr:row>
      <xdr:rowOff>14760</xdr:rowOff>
    </xdr:from>
    <xdr:to>
      <xdr:col>28</xdr:col>
      <xdr:colOff>384120</xdr:colOff>
      <xdr:row>16</xdr:row>
      <xdr:rowOff>8640</xdr:rowOff>
    </xdr:to>
    <xdr:sp>
      <xdr:nvSpPr>
        <xdr:cNvPr id="21" name=""/>
        <xdr:cNvSpPr/>
      </xdr:nvSpPr>
      <xdr:spPr>
        <a:xfrm>
          <a:off x="16221240" y="1100520"/>
          <a:ext cx="1267200" cy="180360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tIns="45000" rIns="90000" bIns="45000" anchor="t">
          <a:noAutofit/>
        </a:bodyPr>
        <a:p>
          <a:r>
            <a:rPr lang="en-US" sz="1100" b="0" u="none" strike="noStrike">
              <a:effectLst/>
              <a:uFillTx/>
              <a:latin typeface="Times New Roman"/>
            </a:rPr>
            <a:t>This shape represents a slicer. Slicers are supported in Excel 2010 or later.</a:t>
          </a:r>
          <a:endParaRPr lang="en-US" sz="1100" b="0" u="none" strike="noStrike">
            <a:effectLst/>
            <a:uFillTx/>
            <a:latin typeface="Times New Roman"/>
          </a:endParaRPr>
        </a:p>
        <a:p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u="none" strike="noStrike">
              <a:effectLst/>
              <a:uFillTx/>
              <a:latin typeface="Times New Roman"/>
            </a:rPr>
            <a:t>If the shape was modified in an earlier version of Excel, or if the workbook was saved in Excel 2003 or earlier, the slicer cannot be used.</a:t>
          </a: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26</xdr:col>
      <xdr:colOff>331560</xdr:colOff>
      <xdr:row>18</xdr:row>
      <xdr:rowOff>57240</xdr:rowOff>
    </xdr:from>
    <xdr:to>
      <xdr:col>28</xdr:col>
      <xdr:colOff>370800</xdr:colOff>
      <xdr:row>26</xdr:row>
      <xdr:rowOff>86400</xdr:rowOff>
    </xdr:to>
    <xdr:sp>
      <xdr:nvSpPr>
        <xdr:cNvPr id="22" name=""/>
        <xdr:cNvSpPr/>
      </xdr:nvSpPr>
      <xdr:spPr>
        <a:xfrm>
          <a:off x="16214040" y="3314880"/>
          <a:ext cx="1261080" cy="14767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tIns="45000" rIns="90000" bIns="45000" anchor="t">
          <a:noAutofit/>
        </a:bodyPr>
        <a:p>
          <a:r>
            <a:rPr lang="en-US" sz="1100" b="0" u="none" strike="noStrike">
              <a:effectLst/>
              <a:uFillTx/>
              <a:latin typeface="Times New Roman"/>
            </a:rPr>
            <a:t>This shape represents a slicer. Slicers are supported in Excel 2010 or later.</a:t>
          </a:r>
          <a:endParaRPr lang="en-US" sz="1100" b="0" u="none" strike="noStrike">
            <a:effectLst/>
            <a:uFillTx/>
            <a:latin typeface="Times New Roman"/>
          </a:endParaRPr>
        </a:p>
        <a:p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u="none" strike="noStrike">
              <a:effectLst/>
              <a:uFillTx/>
              <a:latin typeface="Times New Roman"/>
            </a:rPr>
            <a:t>If the shape was modified in an earlier version of Excel, or if the workbook was saved in Excel 2003 or earlier, the slicer cannot be used.</a:t>
          </a: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26</xdr:col>
      <xdr:colOff>530640</xdr:colOff>
      <xdr:row>0</xdr:row>
      <xdr:rowOff>108720</xdr:rowOff>
    </xdr:from>
    <xdr:to>
      <xdr:col>28</xdr:col>
      <xdr:colOff>230760</xdr:colOff>
      <xdr:row>5</xdr:row>
      <xdr:rowOff>78840</xdr:rowOff>
    </xdr:to>
    <xdr:pic>
      <xdr:nvPicPr>
        <xdr:cNvPr id="23" name="Graphic 23" descr="Arrow circle with solid fill"/>
        <xdr:cNvPicPr/>
      </xdr:nvPicPr>
      <xdr:blipFill>
        <a:blip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/>
      </xdr:blipFill>
      <xdr:spPr>
        <a:xfrm>
          <a:off x="16413120" y="108720"/>
          <a:ext cx="921960" cy="875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09" createdVersion="3">
  <cacheSource type="worksheet">
    <worksheetSource ref="A1:AB310" sheet="PQ_Output"/>
  </cacheSource>
  <cacheFields count="28">
    <cacheField name="Task_ID" numFmtId="0">
      <sharedItems count="308">
        <s v="TSK-0001"/>
        <s v="TSK-0002"/>
        <s v="TSK-0003"/>
        <s v="TSK-0004"/>
        <s v="TSK-0005"/>
        <s v="TSK-0006"/>
        <s v="TSK-0008"/>
        <s v="TSK-0009"/>
        <s v="TSK-0010"/>
        <s v="TSK-0011"/>
        <s v="TSK-0012"/>
        <s v="TSK-0013"/>
        <s v="TSK-0014"/>
        <s v="TSK-0015"/>
        <s v="TSK-0016"/>
        <s v="TSK-0017"/>
        <s v="TSK-0018"/>
        <s v="TSK-0019"/>
        <s v="TSK-0020"/>
        <s v="TSK-0021"/>
        <s v="TSK-0022"/>
        <s v="TSK-0023"/>
        <s v="TSK-0024"/>
        <s v="TSK-0025"/>
        <s v="TSK-0026"/>
        <s v="TSK-0027"/>
        <s v="TSK-0028"/>
        <s v="TSK-0029"/>
        <s v="TSK-0030"/>
        <s v="TSK-0031"/>
        <s v="TSK-0032"/>
        <s v="TSK-0033"/>
        <s v="TSK-0034"/>
        <s v="TSK-0035"/>
        <s v="TSK-0036"/>
        <s v="TSK-0037"/>
        <s v="TSK-0038"/>
        <s v="TSK-0039"/>
        <s v="TSK-0040"/>
        <s v="TSK-0041"/>
        <s v="TSK-0042"/>
        <s v="TSK-0043"/>
        <s v="TSK-0044"/>
        <s v="TSK-0045"/>
        <s v="TSK-0046"/>
        <s v="TSK-0047"/>
        <s v="TSK-0048"/>
        <s v="TSK-0049"/>
        <s v="TSK-0050"/>
        <s v="TSK-0051"/>
        <s v="TSK-0052"/>
        <s v="TSK-0053"/>
        <s v="TSK-0054"/>
        <s v="TSK-0055"/>
        <s v="TSK-0056"/>
        <s v="TSK-0057"/>
        <s v="TSK-0058"/>
        <s v="TSK-0059"/>
        <s v="TSK-0060"/>
        <s v="TSK-0061"/>
        <s v="TSK-0062"/>
        <s v="TSK-0064"/>
        <s v="TSK-0065"/>
        <s v="TSK-0066"/>
        <s v="TSK-0067"/>
        <s v="TSK-0068"/>
        <s v="TSK-0069"/>
        <s v="TSK-0070"/>
        <s v="TSK-0071"/>
        <s v="TSK-0072"/>
        <s v="TSK-0073"/>
        <s v="TSK-0074"/>
        <s v="TSK-0075"/>
        <s v="TSK-0076"/>
        <s v="TSK-0077"/>
        <s v="TSK-0078"/>
        <s v="TSK-0079"/>
        <s v="TSK-0080"/>
        <s v="TSK-0081"/>
        <s v="TSK-0082"/>
        <s v="TSK-0083"/>
        <s v="TSK-0084"/>
        <s v="TSK-0085"/>
        <s v="TSK-0086"/>
        <s v="TSK-0087"/>
        <s v="TSK-0088"/>
        <s v="TSK-0089"/>
        <s v="TSK-0090"/>
        <s v="TSK-0091"/>
        <s v="TSK-0092"/>
        <s v="TSK-0093"/>
        <s v="TSK-0094"/>
        <s v="TSK-0095"/>
        <s v="TSK-0096"/>
        <s v="TSK-0097"/>
        <s v="TSK-0098"/>
        <s v="TSK-0099"/>
        <s v="TSK-0100"/>
        <s v="TSK-0101"/>
        <s v="TSK-0102"/>
        <s v="TSK-0103"/>
        <s v="TSK-0104"/>
        <s v="TSK-0105"/>
        <s v="TSK-0106"/>
        <s v="TSK-0107"/>
        <s v="TSK-0108"/>
        <s v="TSK-0109"/>
        <s v="TSK-0110"/>
        <s v="TSK-0111"/>
        <s v="TSK-0112"/>
        <s v="TSK-0113"/>
        <s v="TSK-0114"/>
        <s v="TSK-0115"/>
        <s v="TSK-0116"/>
        <s v="TSK-0117"/>
        <s v="TSK-0118"/>
        <s v="TSK-0119"/>
        <s v="TSK-0120"/>
        <s v="TSK-0121"/>
        <s v="TSK-0122"/>
        <s v="TSK-0123"/>
        <s v="TSK-0124"/>
        <s v="TSK-0125"/>
        <s v="TSK-0126"/>
        <s v="TSK-0129"/>
        <s v="TSK-0130"/>
        <s v="TSK-0131"/>
        <s v="TSK-0132"/>
        <s v="TSK-0133"/>
        <s v="TSK-0134"/>
        <s v="TSK-0135"/>
        <s v="TSK-0136"/>
        <s v="TSK-0137"/>
        <s v="TSK-0138"/>
        <s v="TSK-0139"/>
        <s v="TSK-0140"/>
        <s v="TSK-0141"/>
        <s v="TSK-0142"/>
        <s v="TSK-0143"/>
        <s v="TSK-0144"/>
        <s v="TSK-0145"/>
        <s v="TSK-0146"/>
        <s v="TSK-0147"/>
        <s v="TSK-0148"/>
        <s v="TSK-0149"/>
        <s v="TSK-0150"/>
        <s v="TSK-0151"/>
        <s v="TSK-0152"/>
        <s v="TSK-0153"/>
        <s v="TSK-0154"/>
        <s v="TSK-0155"/>
        <s v="TSK-0156"/>
        <s v="TSK-0157"/>
        <s v="TSK-0158"/>
        <s v="TSK-0159"/>
        <s v="TSK-0160"/>
        <s v="TSK-0161"/>
        <s v="TSK-0162"/>
        <s v="TSK-0163"/>
        <s v="TSK-0164"/>
        <s v="TSK-0165"/>
        <s v="TSK-0166"/>
        <s v="TSK-0167"/>
        <s v="TSK-0168"/>
        <s v="TSK-0169"/>
        <s v="TSK-0170"/>
        <s v="TSK-0171"/>
        <s v="TSK-0172"/>
        <s v="TSK-0173"/>
        <s v="TSK-0174"/>
        <s v="TSK-0175"/>
        <s v="TSK-0176"/>
        <s v="TSK-0177"/>
        <s v="TSK-0178"/>
        <s v="TSK-0179"/>
        <s v="TSK-0180"/>
        <s v="TSK-0181"/>
        <s v="TSK-0182"/>
        <s v="TSK-0183"/>
        <s v="TSK-0184"/>
        <s v="TSK-0185"/>
        <s v="TSK-0186"/>
        <s v="TSK-0187"/>
        <s v="TSK-0188"/>
        <s v="TSK-0189"/>
        <s v="TSK-0190"/>
        <s v="TSK-0191"/>
        <s v="TSK-0192"/>
        <s v="TSK-0193"/>
        <s v="TSK-0194"/>
        <s v="TSK-0195"/>
        <s v="TSK-0196"/>
        <s v="TSK-0197"/>
        <s v="TSK-0199"/>
        <s v="TSK-0200"/>
        <s v="TSK-0201"/>
        <s v="TSK-0202"/>
        <s v="TSK-0203"/>
        <s v="TSK-0204"/>
        <s v="TSK-0205"/>
        <s v="TSK-0206"/>
        <s v="TSK-0207"/>
        <s v="TSK-0208"/>
        <s v="TSK-0209"/>
        <s v="TSK-0210"/>
        <s v="TSK-0211"/>
        <s v="TSK-0212"/>
        <s v="TSK-0213"/>
        <s v="TSK-0214"/>
        <s v="TSK-0215"/>
        <s v="TSK-0216"/>
        <s v="TSK-0217"/>
        <s v="TSK-0218"/>
        <s v="TSK-0219"/>
        <s v="TSK-0220"/>
        <s v="TSK-0221"/>
        <s v="TSK-0222"/>
        <s v="TSK-0223"/>
        <s v="TSK-0224"/>
        <s v="TSK-0225"/>
        <s v="TSK-0226"/>
        <s v="TSK-0228"/>
        <s v="TSK-0229"/>
        <s v="TSK-0230"/>
        <s v="TSK-0231"/>
        <s v="TSK-0232"/>
        <s v="TSK-0233"/>
        <s v="TSK-0234"/>
        <s v="TSK-0235"/>
        <s v="TSK-0236"/>
        <s v="TSK-0237"/>
        <s v="TSK-0238"/>
        <s v="TSK-0239"/>
        <s v="TSK-0240"/>
        <s v="TSK-0241"/>
        <s v="TSK-0242"/>
        <s v="TSK-0243"/>
        <s v="TSK-0244"/>
        <s v="TSK-0245"/>
        <s v="TSK-0246"/>
        <s v="TSK-0247"/>
        <s v="TSK-0248"/>
        <s v="TSK-0249"/>
        <s v="TSK-0250"/>
        <s v="TSK-0251"/>
        <s v="TSK-0252"/>
        <s v="TSK-0253"/>
        <s v="TSK-0254"/>
        <s v="TSK-0255"/>
        <s v="TSK-0256"/>
        <s v="TSK-0257"/>
        <s v="TSK-0258"/>
        <s v="TSK-0259"/>
        <s v="TSK-0260"/>
        <s v="TSK-0261"/>
        <s v="TSK-0262"/>
        <s v="TSK-0263"/>
        <s v="TSK-0264"/>
        <s v="TSK-0265"/>
        <s v="TSK-0266"/>
        <s v="TSK-0267"/>
        <s v="TSK-0268"/>
        <s v="TSK-0269"/>
        <s v="TSK-0270"/>
        <s v="TSK-0271"/>
        <s v="TSK-0272"/>
        <s v="TSK-0273"/>
        <s v="TSK-0274"/>
        <s v="TSK-0275"/>
        <s v="TSK-0276"/>
        <s v="TSK-0277"/>
        <s v="TSK-0278"/>
        <s v="TSK-0279"/>
        <s v="TSK-0280"/>
        <s v="TSK-0281"/>
        <s v="TSK-0282"/>
        <s v="TSK-0283"/>
        <s v="TSK-0284"/>
        <s v="TSK-0285"/>
        <s v="TSK-0286"/>
        <s v="TSK-0287"/>
        <s v="TSK-0288"/>
        <s v="TSK-0289"/>
        <s v="TSK-0290"/>
        <s v="TSK-0291"/>
        <s v="TSK-0292"/>
        <s v="TSK-0293"/>
        <s v="TSK-0294"/>
        <s v="TSK-0295"/>
        <s v="TSK-0296"/>
        <s v="TSK-0297"/>
        <s v="TSK-0298"/>
        <s v="TSK-0299"/>
        <s v="TSK-0300"/>
        <s v="TSK-0301"/>
        <s v="TSK-0302"/>
        <s v="TSK-0303"/>
        <s v="TSK-0304"/>
        <s v="TSK-0305"/>
        <s v="TSK-0306"/>
        <s v="TSK-0307"/>
        <s v="TSK-0308"/>
        <s v="TSK-0309"/>
        <s v="TSK-0310"/>
        <s v="TSK-0311"/>
        <s v="TSK-0312"/>
        <s v="TSK-0313"/>
        <s v="TSK-0314"/>
      </sharedItems>
    </cacheField>
    <cacheField name="Project_ID" numFmtId="0">
      <sharedItems count="15">
        <s v="PRJ-001"/>
        <s v="PRJ-002"/>
        <s v="PRJ-003"/>
        <s v="PRJ-004"/>
        <s v="PRJ-005"/>
        <s v="PRJ-006"/>
        <s v="PRJ-007"/>
        <s v="PRJ-008"/>
        <s v="PRJ-009"/>
        <s v="PRJ-010"/>
        <s v="PRJ-011"/>
        <s v="PRJ-012"/>
        <s v="PRJ-013"/>
        <s v="PRJ-014"/>
        <s v="PRJ-015"/>
      </sharedItems>
    </cacheField>
    <cacheField name="Project_Name" numFmtId="0">
      <sharedItems count="15">
        <s v="Brand Refresh Campaign"/>
        <s v="Cloud Migration"/>
        <s v="CRM Migration"/>
        <s v="Customer Portal Upgrade"/>
        <s v="Data Center Upgrade"/>
        <s v="ERP System Rollout"/>
        <s v="HR System Implementation"/>
        <s v="Mobile App Launch"/>
        <s v="Network Security Overhaul"/>
        <s v="Office Relocation"/>
        <s v="Product Line Expansion"/>
        <s v="Retail Store Opening"/>
        <s v="Supply Chain Optimization"/>
        <s v="Warehouse Automation"/>
        <s v="Website Redesign"/>
      </sharedItems>
    </cacheField>
    <cacheField name="Task_Name" numFmtId="0">
      <sharedItems count="196">
        <s v="Analyze backup procedure"/>
        <s v="Analyze dashboard"/>
        <s v="Analyze database schema"/>
        <s v="Analyze marketing collateral"/>
        <s v="Analyze onboarding process"/>
        <s v="Analyze quality checklist"/>
        <s v="Analyze security policy"/>
        <s v="Analyze server configuration"/>
        <s v="Analyze supplier list"/>
        <s v="Analyze training material"/>
        <s v="Analyze user interface"/>
        <s v="Analyze vendor contract"/>
        <s v="Approve API integration"/>
        <s v="Approve backup procedure"/>
        <s v="Approve budget report"/>
        <s v="Approve customer feedback survey"/>
        <s v="Approve database schema"/>
        <s v="Approve inventory system"/>
        <s v="Approve onboarding process"/>
        <s v="Approve quality checklist"/>
        <s v="Approve server configuration"/>
        <s v="Approve supplier list"/>
        <s v="Approve user interface"/>
        <s v="Approve vendor contract"/>
        <s v="Approve warehouse layout"/>
        <s v="Audit API integration"/>
        <s v="Audit backup procedure"/>
        <s v="Audit budget report"/>
        <s v="Audit dashboard"/>
        <s v="Audit employee handbook"/>
        <s v="Audit inventory system"/>
        <s v="Audit marketing collateral"/>
        <s v="Audit network infrastructure"/>
        <s v="Audit onboarding process"/>
        <s v="Audit security policy"/>
        <s v="Audit supplier list"/>
        <s v="Audit training material"/>
        <s v="Audit user interface"/>
        <s v="Audit vendor contract"/>
        <s v="Audit warehouse layout"/>
        <s v="Configure API integration"/>
        <s v="Configure backup procedure"/>
        <s v="Configure budget report"/>
        <s v="Configure employee handbook"/>
        <s v="Configure network infrastructure"/>
        <s v="Configure security policy"/>
        <s v="Configure supplier list"/>
        <s v="Configure training material"/>
        <s v="Deploy backup procedure"/>
        <s v="Deploy budget report"/>
        <s v="Deploy dashboard"/>
        <s v="Deploy database schema"/>
        <s v="Deploy employee handbook"/>
        <s v="Deploy hardware setup"/>
        <s v="Deploy inventory system"/>
        <s v="Deploy marketing collateral"/>
        <s v="Deploy network infrastructure"/>
        <s v="Deploy onboarding process"/>
        <s v="Deploy quality checklist"/>
        <s v="Deploy server configuration"/>
        <s v="Deploy supplier list"/>
        <s v="Deploy training material"/>
        <s v="Deploy user interface"/>
        <s v="Deploy vendor contract"/>
        <s v="Deploy warehouse layout"/>
        <s v="Design backup procedure"/>
        <s v="Design budget report"/>
        <s v="Design customer feedback survey"/>
        <s v="Design dashboard"/>
        <s v="Design employee handbook"/>
        <s v="Design hardware setup"/>
        <s v="Design inventory system"/>
        <s v="Design marketing collateral"/>
        <s v="Design network infrastructure"/>
        <s v="Design onboarding process"/>
        <s v="Design quality checklist"/>
        <s v="Design security policy"/>
        <s v="Design server configuration"/>
        <s v="Design supplier list"/>
        <s v="Design training material"/>
        <s v="Design user interface"/>
        <s v="Develop backup procedure"/>
        <s v="Develop budget report"/>
        <s v="Develop database schema"/>
        <s v="Develop hardware setup"/>
        <s v="Develop inventory system"/>
        <s v="Develop network infrastructure"/>
        <s v="Develop onboarding process"/>
        <s v="Develop quality checklist"/>
        <s v="Develop security policy"/>
        <s v="Develop training material"/>
        <s v="Develop user interface"/>
        <s v="Develop vendor contract"/>
        <s v="Develop warehouse layout"/>
        <s v="Document API integration"/>
        <s v="Document budget report"/>
        <s v="Document customer feedback survey"/>
        <s v="Document dashboard"/>
        <s v="Document database schema"/>
        <s v="Document employee handbook"/>
        <s v="Document hardware setup"/>
        <s v="Document network infrastructure"/>
        <s v="Document onboarding process"/>
        <s v="Document quality checklist"/>
        <s v="Document training material"/>
        <s v="Document user interface"/>
        <s v="Document warehouse layout"/>
        <s v="Install backup procedure"/>
        <s v="Install budget report"/>
        <s v="Install dashboard"/>
        <s v="Install employee handbook"/>
        <s v="Install hardware setup"/>
        <s v="Install onboarding process"/>
        <s v="Install training material"/>
        <s v="Install user interface"/>
        <s v="Install vendor contract"/>
        <s v="Install warehouse layout"/>
        <s v="Migrate API integration"/>
        <s v="Migrate backup procedure"/>
        <s v="Migrate customer feedback survey"/>
        <s v="Migrate employee handbook"/>
        <s v="Migrate hardware setup"/>
        <s v="Migrate marketing collateral"/>
        <s v="Migrate onboarding process"/>
        <s v="Migrate server configuration"/>
        <s v="Migrate supplier list"/>
        <s v="Migrate vendor contract"/>
        <s v="Optimize API integration"/>
        <s v="Optimize customer feedback survey"/>
        <s v="Optimize dashboard"/>
        <s v="Optimize employee handbook"/>
        <s v="Optimize hardware setup"/>
        <s v="Optimize marketing collateral"/>
        <s v="Optimize network infrastructure"/>
        <s v="Optimize quality checklist"/>
        <s v="Optimize security policy"/>
        <s v="Optimize server configuration"/>
        <s v="Optimize supplier list"/>
        <s v="Optimize user interface"/>
        <s v="Optimize vendor contract"/>
        <s v="Plan backup procedure"/>
        <s v="Plan budget report"/>
        <s v="Plan customer feedback survey"/>
        <s v="Plan dashboard"/>
        <s v="Plan database schema"/>
        <s v="Plan employee handbook"/>
        <s v="Plan hardware setup"/>
        <s v="Plan quality checklist"/>
        <s v="Plan server configuration"/>
        <s v="Plan supplier list"/>
        <s v="Plan training material"/>
        <s v="Plan user interface"/>
        <s v="Plan vendor contract"/>
        <s v="Plan warehouse layout"/>
        <s v="Procure backup procedure"/>
        <s v="Procure customer feedback survey"/>
        <s v="Procure employee handbook"/>
        <s v="Procure inventory system"/>
        <s v="Procure quality checklist"/>
        <s v="Procure vendor contract"/>
        <s v="Procure warehouse layout"/>
        <s v="Review API integration"/>
        <s v="Review database schema"/>
        <s v="Review employee handbook"/>
        <s v="Review hardware setup"/>
        <s v="Review network infrastructure"/>
        <s v="Review onboarding process"/>
        <s v="Review security policy"/>
        <s v="Review supplier list"/>
        <s v="Review training material"/>
        <s v="Review user interface"/>
        <s v="Review vendor contract"/>
        <s v="Review warehouse layout"/>
        <s v="Test API integration"/>
        <s v="Test backup procedure"/>
        <s v="Test dashboard"/>
        <s v="Test database schema"/>
        <s v="Test hardware setup"/>
        <s v="Test marketing collateral"/>
        <s v="Test onboarding process"/>
        <s v="Test security policy"/>
        <s v="Test server configuration"/>
        <s v="Test supplier list"/>
        <s v="Test training material"/>
        <s v="Test vendor contract"/>
        <s v="Test warehouse layout"/>
        <s v="Train users on backup procedure"/>
        <s v="Train users on customer feedback survey"/>
        <s v="Train users on dashboard"/>
        <s v="Train users on employee handbook"/>
        <s v="Train users on hardware setup"/>
        <s v="Train users on marketing collateral"/>
        <s v="Train users on onboarding process"/>
        <s v="Train users on security policy"/>
        <s v="Train users on supplier list"/>
        <s v="Train users on vendor contract"/>
      </sharedItems>
    </cacheField>
    <cacheField name="Department" numFmtId="0">
      <sharedItems count="7">
        <s v="Finance"/>
        <s v="HR"/>
        <s v="IT"/>
        <s v="Marketing"/>
        <s v="Operations"/>
        <s v="Procurement"/>
        <s v="Quality Assurance"/>
      </sharedItems>
    </cacheField>
    <cacheField name="Assigned_To" numFmtId="0">
      <sharedItems count="27">
        <s v="Aya Ibrahim"/>
        <s v="Dina Fouad"/>
        <s v="Dina Mahmoud"/>
        <s v="Dina Zaki"/>
        <s v="Fady Hosny"/>
        <s v="Farida Hosny"/>
        <s v="Farida Shawky"/>
        <s v="Farida Younes"/>
        <s v="Farida Zaki"/>
        <s v="Hana Zaki"/>
        <s v="Hassan Fouad"/>
        <s v="Khaled Naguib"/>
        <s v="Khaled Younes"/>
        <s v="Mariam Kamal"/>
        <s v="Mostafa El-Sayed"/>
        <s v="Noor Naguib"/>
        <s v="Rania Gaber"/>
        <s v="Reem Gaber"/>
        <s v="Salma Fouad"/>
        <s v="Sherif Hosny"/>
        <s v="Sherif Ibrahim"/>
        <s v="Tarek Abdelrahman"/>
        <s v="Tarek Shawky"/>
        <s v="Yasmin El-Sayed"/>
        <s v="Yasmin Younes"/>
        <s v="Yasmin Zaki"/>
        <s v="Ziad Abdelrahman"/>
      </sharedItems>
    </cacheField>
    <cacheField name="Priority" numFmtId="0">
      <sharedItems count="4">
        <s v="High"/>
        <s v="Low"/>
        <s v="Medium"/>
        <s v="Not Set"/>
      </sharedItems>
    </cacheField>
    <cacheField name="Status" numFmtId="0">
      <sharedItems count="4">
        <s v="Completed"/>
        <s v="Delayed"/>
        <s v="In Progress"/>
        <s v="Not Started"/>
      </sharedItems>
    </cacheField>
    <cacheField name="Start_Date" numFmtId="0">
      <sharedItems containsSemiMixedTypes="0" containsNonDate="0" containsDate="1" containsString="0" minDate="2024-01-06T00:00:00" maxDate="2024-11-19T00:00:00" count="186">
        <d v="2024-01-06T00:00:00"/>
        <d v="2024-01-10T00:00:00"/>
        <d v="2024-01-13T00:00:00"/>
        <d v="2024-01-16T00:00:00"/>
        <d v="2024-01-26T00:00:00"/>
        <d v="2024-01-28T00:00:00"/>
        <d v="2024-01-29T00:00:00"/>
        <d v="2024-02-03T00:00:00"/>
        <d v="2024-02-05T00:00:00"/>
        <d v="2024-02-06T00:00:00"/>
        <d v="2024-02-07T00:00:00"/>
        <d v="2024-02-12T00:00:00"/>
        <d v="2024-02-14T00:00:00"/>
        <d v="2024-02-16T00:00:00"/>
        <d v="2024-02-17T00:00:00"/>
        <d v="2024-02-18T00:00:00"/>
        <d v="2024-02-19T00:00:00"/>
        <d v="2024-02-21T00:00:00"/>
        <d v="2024-02-22T00:00:00"/>
        <d v="2024-02-24T00:00:00"/>
        <d v="2024-02-26T00:00:00"/>
        <d v="2024-02-27T00:00:00"/>
        <d v="2024-02-28T00:00:00"/>
        <d v="2024-02-29T00:00:00"/>
        <d v="2024-03-01T00:00:00"/>
        <d v="2024-03-03T00:00:00"/>
        <d v="2024-03-05T00:00:00"/>
        <d v="2024-03-08T00:00:00"/>
        <d v="2024-03-10T00:00:00"/>
        <d v="2024-03-12T00:00:00"/>
        <d v="2024-03-13T00:00:00"/>
        <d v="2024-03-14T00:00:00"/>
        <d v="2024-03-16T00:00:00"/>
        <d v="2024-03-18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9T00:00:00"/>
        <d v="2024-03-31T00:00:00"/>
        <d v="2024-04-01T00:00:00"/>
        <d v="2024-04-03T00:00:00"/>
        <d v="2024-04-04T00:00:00"/>
        <d v="2024-04-05T00:00:00"/>
        <d v="2024-04-06T00:00:00"/>
        <d v="2024-04-07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1T00:00:00"/>
        <d v="2024-04-22T00:00:00"/>
        <d v="2024-04-23T00:00:00"/>
        <d v="2024-04-25T00:00:00"/>
        <d v="2024-04-27T00:00:00"/>
        <d v="2024-04-28T00:00:00"/>
        <d v="2024-05-01T00:00:00"/>
        <d v="2024-05-02T00:00:00"/>
        <d v="2024-05-05T00:00:00"/>
        <d v="2024-05-06T00:00:00"/>
        <d v="2024-05-07T00:00:00"/>
        <d v="2024-05-08T00:00:00"/>
        <d v="2024-05-09T00:00:00"/>
        <d v="2024-05-11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6T00:00:00"/>
        <d v="2024-05-27T00:00:00"/>
        <d v="2024-05-28T00:00:00"/>
        <d v="2024-05-29T00:00:00"/>
        <d v="2024-05-30T00:00:00"/>
        <d v="2024-05-31T00:00:00"/>
        <d v="2024-06-02T00:00:00"/>
        <d v="2024-06-05T00:00:00"/>
        <d v="2024-06-06T00:00:00"/>
        <d v="2024-06-07T00:00:00"/>
        <d v="2024-06-10T00:00:00"/>
        <d v="2024-06-14T00:00:00"/>
        <d v="2024-06-16T00:00:00"/>
        <d v="2024-06-17T00:00:00"/>
        <d v="2024-06-18T00:00:00"/>
        <d v="2024-06-19T00:00:00"/>
        <d v="2024-06-20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5T00:00:00"/>
        <d v="2024-07-07T00:00:00"/>
        <d v="2024-07-08T00:00:00"/>
        <d v="2024-07-09T00:00:00"/>
        <d v="2024-07-10T00:00:00"/>
        <d v="2024-07-11T00:00:00"/>
        <d v="2024-07-13T00:00:00"/>
        <d v="2024-07-14T00:00:00"/>
        <d v="2024-07-16T00:00:00"/>
        <d v="2024-07-17T00:00:00"/>
        <d v="2024-07-18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8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1T00:00:00"/>
        <d v="2024-08-14T00:00:00"/>
        <d v="2024-08-15T00:00:00"/>
        <d v="2024-08-16T00:00:00"/>
        <d v="2024-08-17T00:00:00"/>
        <d v="2024-08-18T00:00:00"/>
        <d v="2024-08-19T00:00:00"/>
        <d v="2024-08-22T00:00:00"/>
        <d v="2024-08-23T00:00:00"/>
        <d v="2024-08-26T00:00:00"/>
        <d v="2024-08-27T00:00:00"/>
        <d v="2024-08-31T00:00:00"/>
        <d v="2024-09-03T00:00:00"/>
        <d v="2024-09-07T00:00:00"/>
        <d v="2024-09-08T00:00:00"/>
        <d v="2024-09-09T00:00:00"/>
        <d v="2024-09-10T00:00:00"/>
        <d v="2024-09-13T00:00:00"/>
        <d v="2024-09-18T00:00:00"/>
        <d v="2024-09-19T00:00:00"/>
        <d v="2024-09-22T00:00:00"/>
        <d v="2024-09-25T00:00:00"/>
        <d v="2024-10-05T00:00:00"/>
        <d v="2024-10-06T00:00:00"/>
        <d v="2024-10-07T00:00:00"/>
        <d v="2024-10-10T00:00:00"/>
        <d v="2024-10-11T00:00:00"/>
        <d v="2024-10-14T00:00:00"/>
        <d v="2024-10-17T00:00:00"/>
        <d v="2024-10-18T00:00:00"/>
        <d v="2024-10-21T00:00:00"/>
        <d v="2024-10-27T00:00:00"/>
        <d v="2024-10-29T00:00:00"/>
        <d v="2024-10-30T00:00:00"/>
        <d v="2024-11-01T00:00:00"/>
        <d v="2024-11-02T00:00:00"/>
        <d v="2024-11-04T00:00:00"/>
        <d v="2024-11-07T00:00:00"/>
        <d v="2024-11-10T00:00:00"/>
        <d v="2024-11-15T00:00:00"/>
        <d v="2024-11-18T00:00:00"/>
        <d v="2024-11-19T00:00:00"/>
      </sharedItems>
    </cacheField>
    <cacheField name="Planned_End_Date" numFmtId="0">
      <sharedItems containsSemiMixedTypes="0" containsNonDate="0" containsDate="1" containsString="0" minDate="2024-01-15T00:00:00" maxDate="2024-12-11T00:00:00" count="189">
        <d v="2024-01-15T00:00:00"/>
        <d v="2024-01-27T00:00:00"/>
        <d v="2024-01-29T00:00:00"/>
        <d v="2024-02-01T00:00:00"/>
        <d v="2024-02-03T00:00:00"/>
        <d v="2024-02-07T00:00:00"/>
        <d v="2024-02-21T00:00:00"/>
        <d v="2024-02-26T00:00:00"/>
        <d v="2024-02-28T00:00:00"/>
        <d v="2024-02-29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2T00:00:00"/>
        <d v="2024-03-13T00:00:00"/>
        <d v="2024-03-15T00:00:00"/>
        <d v="2024-03-16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8T00:00:00"/>
        <d v="2024-03-30T00:00:00"/>
        <d v="2024-04-03T00:00:00"/>
        <d v="2024-04-04T00:00:00"/>
        <d v="2024-04-07T00:00:00"/>
        <d v="2024-04-09T00:00:00"/>
        <d v="2024-04-10T00:00:00"/>
        <d v="2024-04-14T00:00:00"/>
        <d v="2024-04-15T00:00:00"/>
        <d v="2024-04-16T00:00:00"/>
        <d v="2024-04-17T00:00:00"/>
        <d v="2024-04-20T00:00:00"/>
        <d v="2024-04-21T00:00:00"/>
        <d v="2024-04-22T00:00:00"/>
        <d v="2024-04-24T00:00:00"/>
        <d v="2024-04-25T00:00:00"/>
        <d v="2024-04-26T00:00:00"/>
        <d v="2024-04-28T00:00:00"/>
        <d v="2024-04-29T00:00:00"/>
        <d v="2024-04-30T00:00:00"/>
        <d v="2024-05-01T00:00:00"/>
        <d v="2024-05-02T00:00:00"/>
        <d v="2024-05-03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3T00:00:00"/>
        <d v="2024-05-15T00:00:00"/>
        <d v="2024-05-16T00:00:00"/>
        <d v="2024-05-17T00:00:00"/>
        <d v="2024-05-18T00:00:00"/>
        <d v="2024-05-20T00:00:00"/>
        <d v="2024-05-22T00:00:00"/>
        <d v="2024-05-24T00:00:00"/>
        <d v="2024-05-25T00:00:00"/>
        <d v="2024-05-26T00:00:00"/>
        <d v="2024-05-27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8T00:00:00"/>
        <d v="2024-06-19T00:00:00"/>
        <d v="2024-06-20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30T00:00:00"/>
        <d v="2024-07-01T00:00:00"/>
        <d v="2024-07-03T00:00:00"/>
        <d v="2024-07-04T00:00:00"/>
        <d v="2024-07-06T00:00:00"/>
        <d v="2024-07-07T00:00:00"/>
        <d v="2024-07-08T00:00:00"/>
        <d v="2024-07-10T00:00:00"/>
        <d v="2024-07-11T00:00:00"/>
        <d v="2024-07-12T00:00:00"/>
        <d v="2024-07-13T00:00:00"/>
        <d v="2024-07-14T00:00:00"/>
        <d v="2024-07-15T00:00:00"/>
        <d v="2024-07-18T00:00:00"/>
        <d v="2024-07-20T00:00:00"/>
        <d v="2024-07-21T00:00:00"/>
        <d v="2024-07-22T00:00:00"/>
        <d v="2024-07-23T00:00:00"/>
        <d v="2024-07-25T00:00:00"/>
        <d v="2024-07-26T00:00:00"/>
        <d v="2024-07-27T00:00:00"/>
        <d v="2024-07-29T00:00:00"/>
        <d v="2024-07-31T00:00:00"/>
        <d v="2024-08-01T00:00:00"/>
        <d v="2024-08-02T00:00:00"/>
        <d v="2024-08-03T00:00:00"/>
        <d v="2024-08-04T00:00:00"/>
        <d v="2024-08-06T00:00:00"/>
        <d v="2024-08-07T00:00:00"/>
        <d v="2024-08-09T00:00:00"/>
        <d v="2024-08-10T00:00:00"/>
        <d v="2024-08-13T00:00:00"/>
        <d v="2024-08-14T00:00:00"/>
        <d v="2024-08-15T00:00:00"/>
        <d v="2024-08-16T00:00:00"/>
        <d v="2024-08-18T00:00:00"/>
        <d v="2024-08-19T00:00:00"/>
        <d v="2024-08-20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5T00:00:00"/>
        <d v="2024-09-07T00:00:00"/>
        <d v="2024-09-12T00:00:00"/>
        <d v="2024-09-14T00:00:00"/>
        <d v="2024-09-18T00:00:00"/>
        <d v="2024-09-22T00:00:00"/>
        <d v="2024-09-24T00:00:00"/>
        <d v="2024-09-25T00:00:00"/>
        <d v="2024-09-26T00:00:00"/>
        <d v="2024-09-27T00:00:00"/>
        <d v="2024-09-28T00:00:00"/>
        <d v="2024-09-29T00:00:00"/>
        <d v="2024-10-01T00:00:00"/>
        <d v="2024-10-02T00:00:00"/>
        <d v="2024-10-07T00:00:00"/>
        <d v="2024-10-10T00:00:00"/>
        <d v="2024-10-11T00:00:00"/>
        <d v="2024-10-18T00:00:00"/>
        <d v="2024-10-23T00:00:00"/>
        <d v="2024-10-26T00:00:00"/>
        <d v="2024-10-27T00:00:00"/>
        <d v="2024-10-28T00:00:00"/>
        <d v="2024-10-29T00:00:00"/>
        <d v="2024-10-31T00:00:00"/>
        <d v="2024-11-01T00:00:00"/>
        <d v="2024-11-03T00:00:00"/>
        <d v="2024-11-05T00:00:00"/>
        <d v="2024-11-09T00:00:00"/>
        <d v="2024-11-11T00:00:00"/>
        <d v="2024-11-12T00:00:00"/>
        <d v="2024-11-13T00:00:00"/>
        <d v="2024-11-14T00:00:00"/>
        <d v="2024-11-18T00:00:00"/>
        <d v="2024-11-20T00:00:00"/>
        <d v="2024-11-21T00:00:00"/>
        <d v="2024-11-23T00:00:00"/>
        <d v="2024-11-25T00:00:00"/>
        <d v="2024-11-27T00:00:00"/>
        <d v="2024-12-03T00:00:00"/>
        <d v="2024-12-08T00:00:00"/>
        <d v="2024-12-11T00:00:00"/>
      </sharedItems>
    </cacheField>
    <cacheField name="Actual_End_Date" numFmtId="0">
      <sharedItems containsNonDate="0" containsDate="1" containsString="0" containsBlank="1" minDate="2024-01-12T00:00:00" maxDate="2024-12-10T00:00:00" count="124">
        <d v="2024-01-12T00:00:00"/>
        <d v="2024-01-30T00:00:00"/>
        <d v="2024-02-02T00:00:00"/>
        <d v="2024-02-06T00:00:00"/>
        <d v="2024-02-23T00:00:00"/>
        <d v="2024-02-29T00:00:00"/>
        <d v="2024-03-01T00:00:00"/>
        <d v="2024-03-05T00:00:00"/>
        <d v="2024-03-07T00:00:00"/>
        <d v="2024-03-08T00:00:00"/>
        <d v="2024-03-10T00:00:00"/>
        <d v="2024-03-15T00:00:00"/>
        <d v="2024-03-17T00:00:00"/>
        <d v="2024-03-19T00:00:00"/>
        <d v="2024-03-20T00:00:00"/>
        <d v="2024-03-21T00:00:00"/>
        <d v="2024-03-26T00:00:00"/>
        <d v="2024-03-31T00:00:00"/>
        <d v="2024-04-06T00:00:00"/>
        <d v="2024-04-09T00:00:00"/>
        <d v="2024-04-16T00:00:00"/>
        <d v="2024-04-20T00:00:00"/>
        <d v="2024-04-22T00:00:00"/>
        <d v="2024-04-23T00:00:00"/>
        <d v="2024-04-24T00:00:00"/>
        <d v="2024-04-26T00:00:00"/>
        <d v="2024-04-30T00:00:00"/>
        <d v="2024-05-01T00:00:00"/>
        <d v="2024-05-02T00:00:00"/>
        <d v="2024-05-04T00:00:00"/>
        <d v="2024-05-05T00:00:00"/>
        <d v="2024-05-08T00:00:00"/>
        <d v="2024-05-10T00:00:00"/>
        <d v="2024-05-15T00:00:00"/>
        <d v="2024-05-16T00:00:00"/>
        <d v="2024-05-18T00:00:00"/>
        <d v="2024-05-19T00:00:00"/>
        <d v="2024-05-20T00:00:00"/>
        <d v="2024-05-21T00:00:00"/>
        <d v="2024-05-25T00:00:00"/>
        <d v="2024-05-26T00:00:00"/>
        <d v="2024-05-28T00:00:00"/>
        <d v="2024-05-29T00:00:00"/>
        <d v="2024-05-31T00:00:00"/>
        <d v="2024-06-01T00:00:00"/>
        <d v="2024-06-02T00:00:00"/>
        <d v="2024-06-04T00:00:00"/>
        <d v="2024-06-05T00:00:00"/>
        <d v="2024-06-07T00:00:00"/>
        <d v="2024-06-08T00:00:00"/>
        <d v="2024-06-09T00:00:00"/>
        <d v="2024-06-10T00:00:00"/>
        <d v="2024-06-11T00:00:00"/>
        <d v="2024-06-13T00:00:00"/>
        <d v="2024-06-15T00:00:00"/>
        <d v="2024-06-17T00:00:00"/>
        <d v="2024-06-19T00:00:00"/>
        <d v="2024-06-20T00:00:00"/>
        <d v="2024-06-21T00:00:00"/>
        <d v="2024-06-22T00:00:00"/>
        <d v="2024-06-23T00:00:00"/>
        <d v="2024-06-25T00:00:00"/>
        <d v="2024-06-27T00:00:00"/>
        <d v="2024-06-29T00:00:00"/>
        <d v="2024-06-30T00:00:00"/>
        <d v="2024-07-03T00:00:00"/>
        <d v="2024-07-06T00:00:00"/>
        <d v="2024-07-10T00:00:00"/>
        <d v="2024-07-12T00:00:00"/>
        <d v="2024-07-14T00:00:00"/>
        <d v="2024-07-15T00:00:00"/>
        <d v="2024-07-21T00:00:00"/>
        <d v="2024-07-22T00:00:00"/>
        <d v="2024-07-23T00:00:00"/>
        <d v="2024-07-24T00:00:00"/>
        <d v="2024-07-26T00:00:00"/>
        <d v="2024-07-27T00:00:00"/>
        <d v="2024-07-28T00:00:00"/>
        <d v="2024-07-29T00:00:00"/>
        <d v="2024-07-31T00:00:00"/>
        <d v="2024-08-02T00:00:00"/>
        <d v="2024-08-03T00:00:00"/>
        <d v="2024-08-04T00:00:00"/>
        <d v="2024-08-08T00:00:00"/>
        <d v="2024-08-09T00:00:00"/>
        <d v="2024-08-12T00:00:00"/>
        <d v="2024-08-15T00:00:00"/>
        <d v="2024-08-16T00:00:00"/>
        <d v="2024-08-19T00:00:00"/>
        <d v="2024-08-20T00:00:00"/>
        <d v="2024-08-21T00:00:00"/>
        <d v="2024-08-26T00:00:00"/>
        <d v="2024-08-28T00:00:00"/>
        <d v="2024-08-31T00:00:00"/>
        <d v="2024-09-03T00:00:00"/>
        <d v="2024-09-05T00:00:00"/>
        <d v="2024-09-11T00:00:00"/>
        <d v="2024-09-13T00:00:00"/>
        <d v="2024-09-16T00:00:00"/>
        <d v="2024-09-18T00:00:00"/>
        <d v="2024-09-23T00:00:00"/>
        <d v="2024-09-24T00:00:00"/>
        <d v="2024-09-28T00:00:00"/>
        <d v="2024-09-29T00:00:00"/>
        <d v="2024-10-06T00:00:00"/>
        <d v="2024-10-11T00:00:00"/>
        <d v="2024-10-19T00:00:00"/>
        <d v="2024-10-27T00:00:00"/>
        <d v="2024-10-29T00:00:00"/>
        <d v="2024-10-31T00:00:00"/>
        <d v="2024-11-02T00:00:00"/>
        <d v="2024-11-03T00:00:00"/>
        <d v="2024-11-04T00:00:00"/>
        <d v="2024-11-06T00:00:00"/>
        <d v="2024-11-08T00:00:00"/>
        <d v="2024-11-10T00:00:00"/>
        <d v="2024-11-16T00:00:00"/>
        <d v="2024-11-18T00:00:00"/>
        <d v="2024-11-21T00:00:00"/>
        <d v="2024-11-24T00:00:00"/>
        <d v="2024-11-25T00:00:00"/>
        <d v="2024-12-03T00:00:00"/>
        <d v="2024-12-10T00:00:00"/>
        <m/>
      </sharedItems>
    </cacheField>
    <cacheField name="Planned_Cost" numFmtId="0">
      <sharedItems containsString="0" containsBlank="1" containsNumber="1" containsInteger="1" minValue="1000" maxValue="10000" count="11">
        <n v="1000"/>
        <n v="1500"/>
        <n v="2000"/>
        <n v="2500"/>
        <n v="3000"/>
        <n v="4000"/>
        <n v="5000"/>
        <n v="6000"/>
        <n v="8000"/>
        <n v="10000"/>
        <m/>
      </sharedItems>
    </cacheField>
    <cacheField name="Actual_Cost" numFmtId="0">
      <sharedItems containsString="0" containsBlank="1" containsNumber="1" containsInteger="1" minValue="0" maxValue="13746" count="257">
        <n v="0"/>
        <n v="312"/>
        <n v="359"/>
        <n v="377"/>
        <n v="408"/>
        <n v="416"/>
        <n v="422"/>
        <n v="460"/>
        <n v="483"/>
        <n v="551"/>
        <n v="598"/>
        <n v="604"/>
        <n v="606"/>
        <n v="618"/>
        <n v="620"/>
        <n v="647"/>
        <n v="653"/>
        <n v="732"/>
        <n v="734"/>
        <n v="742"/>
        <n v="758"/>
        <n v="814"/>
        <n v="837"/>
        <n v="842"/>
        <n v="895"/>
        <n v="993"/>
        <n v="994"/>
        <n v="1015"/>
        <n v="1021"/>
        <n v="1032"/>
        <n v="1055"/>
        <n v="1071"/>
        <n v="1080"/>
        <n v="1106"/>
        <n v="1154"/>
        <n v="1219"/>
        <n v="1233"/>
        <n v="1242"/>
        <n v="1248"/>
        <n v="1249"/>
        <n v="1263"/>
        <n v="1275"/>
        <n v="1278"/>
        <n v="1286"/>
        <n v="1328"/>
        <n v="1335"/>
        <n v="1347"/>
        <n v="1349"/>
        <n v="1359"/>
        <n v="1369"/>
        <n v="1387"/>
        <n v="1388"/>
        <n v="1396"/>
        <n v="1399"/>
        <n v="1412"/>
        <n v="1426"/>
        <n v="1434"/>
        <n v="1441"/>
        <n v="1469"/>
        <n v="1497"/>
        <n v="1516"/>
        <n v="1517"/>
        <n v="1522"/>
        <n v="1529"/>
        <n v="1602"/>
        <n v="1606"/>
        <n v="1618"/>
        <n v="1639"/>
        <n v="1651"/>
        <n v="1656"/>
        <n v="1674"/>
        <n v="1676"/>
        <n v="1678"/>
        <n v="1707"/>
        <n v="1716"/>
        <n v="1721"/>
        <n v="1731"/>
        <n v="1736"/>
        <n v="1754"/>
        <n v="1799"/>
        <n v="1802"/>
        <n v="1804"/>
        <n v="1823"/>
        <n v="1832"/>
        <n v="1834"/>
        <n v="1840"/>
        <n v="1849"/>
        <n v="1859"/>
        <n v="1886"/>
        <n v="1896"/>
        <n v="1912"/>
        <n v="1935"/>
        <n v="1961"/>
        <n v="1982"/>
        <n v="1984"/>
        <n v="1993"/>
        <n v="2018"/>
        <n v="2021"/>
        <n v="2034"/>
        <n v="2042"/>
        <n v="2080"/>
        <n v="2110"/>
        <n v="2123"/>
        <n v="2131"/>
        <n v="2156"/>
        <n v="2183"/>
        <n v="2192"/>
        <n v="2194"/>
        <n v="2216"/>
        <n v="2217"/>
        <n v="2236"/>
        <n v="2238"/>
        <n v="2241"/>
        <n v="2251"/>
        <n v="2255"/>
        <n v="2256"/>
        <n v="2260"/>
        <n v="2272"/>
        <n v="2297"/>
        <n v="2311"/>
        <n v="2365"/>
        <n v="2372"/>
        <n v="2376"/>
        <n v="2378"/>
        <n v="2385"/>
        <n v="2401"/>
        <n v="2434"/>
        <n v="2451"/>
        <n v="2478"/>
        <n v="2484"/>
        <n v="2511"/>
        <n v="2512"/>
        <n v="2532"/>
        <n v="2553"/>
        <n v="2584"/>
        <n v="2594"/>
        <n v="2644"/>
        <n v="2645"/>
        <n v="2708"/>
        <n v="2732"/>
        <n v="2776"/>
        <n v="2777"/>
        <n v="2867"/>
        <n v="2896"/>
        <n v="2904"/>
        <n v="2936"/>
        <n v="2964"/>
        <n v="2966"/>
        <n v="3032"/>
        <n v="3036"/>
        <n v="3074"/>
        <n v="3083"/>
        <n v="3146"/>
        <n v="3208"/>
        <n v="3247"/>
        <n v="3329"/>
        <n v="3348"/>
        <n v="3364"/>
        <n v="3393"/>
        <n v="3431"/>
        <n v="3460"/>
        <n v="3468"/>
        <n v="3495"/>
        <n v="3499"/>
        <n v="3533"/>
        <n v="3554"/>
        <n v="3583"/>
        <n v="3653"/>
        <n v="3665"/>
        <n v="3668"/>
        <n v="3786"/>
        <n v="3789"/>
        <n v="3846"/>
        <n v="3867"/>
        <n v="3913"/>
        <n v="3942"/>
        <n v="4271"/>
        <n v="4296"/>
        <n v="4369"/>
        <n v="4444"/>
        <n v="4446"/>
        <n v="4463"/>
        <n v="4468"/>
        <n v="4502"/>
        <n v="4686"/>
        <n v="4692"/>
        <n v="4767"/>
        <n v="4772"/>
        <n v="4856"/>
        <n v="4882"/>
        <n v="4896"/>
        <n v="5016"/>
        <n v="5055"/>
        <n v="5085"/>
        <n v="5187"/>
        <n v="5205"/>
        <n v="5228"/>
        <n v="5250"/>
        <n v="5320"/>
        <n v="5387"/>
        <n v="5388"/>
        <n v="5449"/>
        <n v="5450"/>
        <n v="5504"/>
        <n v="5652"/>
        <n v="5964"/>
        <n v="5985"/>
        <n v="6014"/>
        <n v="6093"/>
        <n v="6098"/>
        <n v="6121"/>
        <n v="6196"/>
        <n v="6223"/>
        <n v="6292"/>
        <n v="6410"/>
        <n v="6487"/>
        <n v="6559"/>
        <n v="6659"/>
        <n v="6660"/>
        <n v="6706"/>
        <n v="6722"/>
        <n v="6887"/>
        <n v="7063"/>
        <n v="7171"/>
        <n v="7208"/>
        <n v="7305"/>
        <n v="7595"/>
        <n v="7859"/>
        <n v="7892"/>
        <n v="7926"/>
        <n v="7969"/>
        <n v="8007"/>
        <n v="8019"/>
        <n v="8069"/>
        <n v="8176"/>
        <n v="8177"/>
        <n v="8191"/>
        <n v="8270"/>
        <n v="8274"/>
        <n v="8335"/>
        <n v="8590"/>
        <n v="8647"/>
        <n v="8702"/>
        <n v="9484"/>
        <n v="10129"/>
        <n v="10647"/>
        <n v="11057"/>
        <n v="11059"/>
        <n v="11105"/>
        <n v="11220"/>
        <n v="11406"/>
        <n v="11467"/>
        <n v="12048"/>
        <n v="12422"/>
        <n v="13448"/>
        <n v="13746"/>
        <m/>
      </sharedItems>
    </cacheField>
    <cacheField name="Planned_Duration_Days" numFmtId="0">
      <sharedItems containsSemiMixedTypes="0" containsString="0" containsNumber="1" containsInteger="1" minValue="3" maxValue="30" count="28"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</sharedItems>
    </cacheField>
    <cacheField name="Delay_Days" numFmtId="0">
      <sharedItems containsSemiMixedTypes="0" containsString="0" containsNumber="1" containsInteger="1" minValue="-3" maxValue="15" count="17">
        <n v="-3"/>
        <n v="-2"/>
        <n v="-1"/>
        <n v="0"/>
        <n v="1"/>
        <n v="2"/>
        <n v="3"/>
        <n v="4"/>
        <n v="5"/>
        <n v="6"/>
        <n v="7"/>
        <n v="9"/>
        <n v="10"/>
        <n v="11"/>
        <n v="12"/>
        <n v="14"/>
        <n v="15"/>
      </sharedItems>
    </cacheField>
    <cacheField name="Client" numFmtId="0">
      <sharedItems count="12">
        <s v="Alexandria Logistics"/>
        <s v="BlueWave Telecom"/>
        <s v="Cairo Financial Services"/>
        <s v="Delta Retail Group"/>
        <s v="Giza Health Systems"/>
        <s v="Horizon Manufacturing"/>
        <s v="Internal"/>
        <s v="Nile Corp"/>
        <s v="Orbit Media"/>
        <s v="Pharos Holdings"/>
        <s v="Red Sea Tourism"/>
        <s v="Suez Trading Co."/>
      </sharedItems>
    </cacheField>
    <cacheField name="Project_Manager" numFmtId="0">
      <sharedItems count="6">
        <s v="Ahmed Nabil"/>
        <s v="Laila Samir"/>
        <s v="Mona Farid"/>
        <s v="Nourhan Tarek"/>
        <s v="Sara Hassan"/>
        <s v="Youssef Adel"/>
      </sharedItems>
    </cacheField>
    <cacheField name="Start_Date.1" numFmtId="0">
      <sharedItems containsSemiMixedTypes="0" containsNonDate="0" containsDate="1" containsString="0" minDate="2024-01-02T00:00:00" maxDate="2024-07-08T00:00:00" count="14">
        <d v="2024-01-02T00:00:00"/>
        <d v="2024-01-09T00:00:00"/>
        <d v="2024-01-12T00:00:00"/>
        <d v="2024-01-24T00:00:00"/>
        <d v="2024-02-25T00:00:00"/>
        <d v="2024-02-26T00:00:00"/>
        <d v="2024-02-27T00:00:00"/>
        <d v="2024-03-28T00:00:00"/>
        <d v="2024-04-01T00:00:00"/>
        <d v="2024-04-06T00:00:00"/>
        <d v="2024-05-23T00:00:00"/>
        <d v="2024-06-12T00:00:00"/>
        <d v="2024-06-22T00:00:00"/>
        <d v="2024-07-08T00:00:00"/>
      </sharedItems>
    </cacheField>
    <cacheField name="Budget" numFmtId="0">
      <sharedItems containsSemiMixedTypes="0" containsString="0" containsNumber="1" containsInteger="1" minValue="50000" maxValue="300000" count="8">
        <n v="50000"/>
        <n v="75000"/>
        <n v="100000"/>
        <n v="120000"/>
        <n v="150000"/>
        <n v="200000"/>
        <n v="250000"/>
        <n v="300000"/>
      </sharedItems>
    </cacheField>
    <cacheField name="Employee_ID" numFmtId="0">
      <sharedItems count="27">
        <s v="EMP-001"/>
        <s v="EMP-002"/>
        <s v="EMP-003"/>
        <s v="EMP-004"/>
        <s v="EMP-005"/>
        <s v="EMP-006"/>
        <s v="EMP-007"/>
        <s v="EMP-008"/>
        <s v="EMP-009"/>
        <s v="EMP-010"/>
        <s v="EMP-011"/>
        <s v="EMP-012"/>
        <s v="EMP-013"/>
        <s v="EMP-014"/>
        <s v="EMP-015"/>
        <s v="EMP-016"/>
        <s v="EMP-017"/>
        <s v="EMP-018"/>
        <s v="EMP-019"/>
        <s v="EMP-020"/>
        <s v="EMP-021"/>
        <s v="EMP-022"/>
        <s v="EMP-023"/>
        <s v="EMP-024"/>
        <s v="EMP-025"/>
        <s v="EMP-026"/>
        <s v="EMP-027"/>
      </sharedItems>
    </cacheField>
    <cacheField name="Role" numFmtId="0">
      <sharedItems count="16">
        <s v="Accountant"/>
        <s v="Brand Manager"/>
        <s v="Budget Controller"/>
        <s v="Content Strategist"/>
        <s v="Financial Analyst"/>
        <s v="HR Generalist"/>
        <s v="IT Support Specialist"/>
        <s v="Logistics Planner"/>
        <s v="Marketing Specialist"/>
        <s v="Operations Coordinator"/>
        <s v="Procurement Officer"/>
        <s v="QA Engineer"/>
        <s v="Software Engineer"/>
        <s v="Systems Analyst"/>
        <s v="Training Coordinator"/>
        <s v="Vendor Manager"/>
      </sharedItems>
    </cacheField>
    <cacheField name="Hourly_Rate" numFmtId="0">
      <sharedItems containsSemiMixedTypes="0" containsString="0" containsNumber="1" containsInteger="1" minValue="150" maxValue="300" count="7">
        <n v="150"/>
        <n v="180"/>
        <n v="200"/>
        <n v="220"/>
        <n v="250"/>
        <n v="280"/>
        <n v="300"/>
      </sharedItems>
    </cacheField>
    <cacheField name="Cost_Variance" numFmtId="0">
      <sharedItems containsSemiMixedTypes="0" containsString="0" containsNumber="1" containsInteger="1" minValue="-10000" maxValue="6098" count="262">
        <n v="-10000"/>
        <n v="-8000"/>
        <n v="-7806"/>
        <n v="-6361"/>
        <n v="-6154"/>
        <n v="-6087"/>
        <n v="-6000"/>
        <n v="-5762"/>
        <n v="-5759"/>
        <n v="-5118"/>
        <n v="-5104"/>
        <n v="-5034"/>
        <n v="-5000"/>
        <n v="-4945"/>
        <n v="-4795"/>
        <n v="-4767"/>
        <n v="-4671"/>
        <n v="-4631"/>
        <n v="-4540"/>
        <n v="-4483"/>
        <n v="-4211"/>
        <n v="-4036"/>
        <n v="-4000"/>
        <n v="-3986"/>
        <n v="-3958"/>
        <n v="-3777"/>
        <n v="-3725"/>
        <n v="-3613"/>
        <n v="-3537"/>
        <n v="-3441"/>
        <n v="-3065"/>
        <n v="-3007"/>
        <n v="-3000"/>
        <n v="-2792"/>
        <n v="-2750"/>
        <n v="-2745"/>
        <n v="-2744"/>
        <n v="-2695"/>
        <n v="-2680"/>
        <n v="-2652"/>
        <n v="-2599"/>
        <n v="-2550"/>
        <n v="-2531"/>
        <n v="-2500"/>
        <n v="-2405"/>
        <n v="-2353"/>
        <n v="-2322"/>
        <n v="-2269"/>
        <n v="-2268"/>
        <n v="-2258"/>
        <n v="-2058"/>
        <n v="-2036"/>
        <n v="-2031"/>
        <n v="-2007"/>
        <n v="-2000"/>
        <n v="-1979"/>
        <n v="-1968"/>
        <n v="-1890"/>
        <n v="-1879"/>
        <n v="-1804"/>
        <n v="-1767"/>
        <n v="-1752"/>
        <n v="-1726"/>
        <n v="-1708"/>
        <n v="-1704"/>
        <n v="-1663"/>
        <n v="-1636"/>
        <n v="-1605"/>
        <n v="-1590"/>
        <n v="-1566"/>
        <n v="-1556"/>
        <n v="-1540"/>
        <n v="-1532"/>
        <n v="-1500"/>
        <n v="-1498"/>
        <n v="-1467"/>
        <n v="-1396"/>
        <n v="-1347"/>
        <n v="-1298"/>
        <n v="-1281"/>
        <n v="-1266"/>
        <n v="-1258"/>
        <n v="-1251"/>
        <n v="-1242"/>
        <n v="-1233"/>
        <n v="-1224"/>
        <n v="-1196"/>
        <n v="-1188"/>
        <n v="-1133"/>
        <n v="-1123"/>
        <n v="-1112"/>
        <n v="-1104"/>
        <n v="-1092"/>
        <n v="-1078"/>
        <n v="-1000"/>
        <n v="-949"/>
        <n v="-926"/>
        <n v="-920"/>
        <n v="-915"/>
        <n v="-902"/>
        <n v="-894"/>
        <n v="-882"/>
        <n v="-869"/>
        <n v="-806"/>
        <n v="-793"/>
        <n v="-779"/>
        <n v="-772"/>
        <n v="-746"/>
        <n v="-686"/>
        <n v="-665"/>
        <n v="-641"/>
        <n v="-635"/>
        <n v="-622"/>
        <n v="-615"/>
        <n v="-614"/>
        <n v="-607"/>
        <n v="-584"/>
        <n v="-574"/>
        <n v="-566"/>
        <n v="-551"/>
        <n v="-549"/>
        <n v="-532"/>
        <n v="-522"/>
        <n v="-517"/>
        <n v="-516"/>
        <n v="-506"/>
        <n v="-488"/>
        <n v="-447"/>
        <n v="-446"/>
        <n v="-445"/>
        <n v="-417"/>
        <n v="-416"/>
        <n v="-394"/>
        <n v="-380"/>
        <n v="-349"/>
        <n v="-348"/>
        <n v="-346"/>
        <n v="-335"/>
        <n v="-317"/>
        <n v="-314"/>
        <n v="-292"/>
        <n v="-284"/>
        <n v="-283"/>
        <n v="-268"/>
        <n v="-266"/>
        <n v="-264"/>
        <n v="-249"/>
        <n v="-228"/>
        <n v="-214"/>
        <n v="-189"/>
        <n v="-160"/>
        <n v="-158"/>
        <n v="-151"/>
        <n v="-141"/>
        <n v="-133"/>
        <n v="-128"/>
        <n v="-124"/>
        <n v="-104"/>
        <n v="-96"/>
        <n v="-88"/>
        <n v="-74"/>
        <n v="-64"/>
        <n v="-3"/>
        <n v="15"/>
        <n v="16"/>
        <n v="18"/>
        <n v="22"/>
        <n v="32"/>
        <n v="36"/>
        <n v="71"/>
        <n v="93"/>
        <n v="102"/>
        <n v="106"/>
        <n v="118"/>
        <n v="123"/>
        <n v="144"/>
        <n v="145"/>
        <n v="156"/>
        <n v="174"/>
        <n v="176"/>
        <n v="208"/>
        <n v="216"/>
        <n v="236"/>
        <n v="260"/>
        <n v="263"/>
        <n v="271"/>
        <n v="272"/>
        <n v="278"/>
        <n v="297"/>
        <n v="299"/>
        <n v="302"/>
        <n v="323"/>
        <n v="328"/>
        <n v="332"/>
        <n v="334"/>
        <n v="335"/>
        <n v="347"/>
        <n v="349"/>
        <n v="369"/>
        <n v="387"/>
        <n v="399"/>
        <n v="401"/>
        <n v="446"/>
        <n v="461"/>
        <n v="482"/>
        <n v="484"/>
        <n v="511"/>
        <n v="521"/>
        <n v="534"/>
        <n v="542"/>
        <n v="580"/>
        <n v="583"/>
        <n v="590"/>
        <n v="594"/>
        <n v="646"/>
        <n v="647"/>
        <n v="668"/>
        <n v="692"/>
        <n v="747"/>
        <n v="777"/>
        <n v="856"/>
        <n v="931"/>
        <n v="985"/>
        <n v="995"/>
        <n v="999"/>
        <n v="1059"/>
        <n v="1063"/>
        <n v="1171"/>
        <n v="1187"/>
        <n v="1220"/>
        <n v="1387"/>
        <n v="1388"/>
        <n v="1406"/>
        <n v="1441"/>
        <n v="1467"/>
        <n v="1484"/>
        <n v="1487"/>
        <n v="1504"/>
        <n v="1529"/>
        <n v="1656"/>
        <n v="1659"/>
        <n v="1660"/>
        <n v="1706"/>
        <n v="1722"/>
        <n v="1887"/>
        <n v="1892"/>
        <n v="2007"/>
        <n v="2019"/>
        <n v="2048"/>
        <n v="2069"/>
        <n v="2129"/>
        <n v="2177"/>
        <n v="2191"/>
        <n v="2192"/>
        <n v="2270"/>
        <n v="2422"/>
        <n v="2553"/>
        <n v="3057"/>
        <n v="3105"/>
        <n v="3448"/>
        <n v="3746"/>
        <n v="6098"/>
      </sharedItems>
    </cacheField>
    <cacheField name="Cost_Variance_%" numFmtId="0">
      <sharedItems containsSemiMixedTypes="0" containsString="0" containsNumber="1" minValue="0" maxValue="1.3996" count="254">
        <n v="0"/>
        <n v="0.204875"/>
        <n v="0.2055"/>
        <n v="0.208"/>
        <n v="0.215666666666667"/>
        <n v="0.2194"/>
        <n v="0.228166666666667"/>
        <n v="0.23"/>
        <n v="0.244"/>
        <n v="0.247333333333333"/>
        <n v="0.251333333333333"/>
        <n v="0.252833333333333"/>
        <n v="0.255"/>
        <n v="0.272"/>
        <n v="0.2774"/>
        <n v="0.27975"/>
        <n v="0.280125"/>
        <n v="0.281333333333333"/>
        <n v="0.302"/>
        <n v="0.3265"/>
        <n v="0.331"/>
        <n v="0.3348"/>
        <n v="0.340333333333333"/>
        <n v="0.358"/>
        <n v="0.359"/>
        <n v="0.362"/>
        <n v="0.367"/>
        <n v="0.36725"/>
        <n v="0.367333333333333"/>
        <n v="0.37075"/>
        <n v="0.379"/>
        <n v="0.3846"/>
        <n v="0.387"/>
        <n v="0.3913"/>
        <n v="0.3986"/>
        <n v="0.398666666666667"/>
        <n v="0.411"/>
        <n v="0.412"/>
        <n v="0.416"/>
        <n v="0.416125"/>
        <n v="0.4195"/>
        <n v="0.4325"/>
        <n v="0.43275"/>
        <n v="0.451"/>
        <n v="0.4512"/>
        <n v="0.473625"/>
        <n v="0.4802"/>
        <n v="0.483"/>
        <n v="0.4876"/>
        <n v="0.4882"/>
        <n v="0.4968"/>
        <n v="0.4996"/>
        <n v="0.5055"/>
        <n v="0.5205"/>
        <n v="0.5275"/>
        <n v="0.54"/>
        <n v="0.542666666666667"/>
        <n v="0.5552"/>
        <n v="0.557875"/>
        <n v="0.558"/>
        <n v="0.5928"/>
        <n v="0.5964"/>
        <n v="0.601333333333333"/>
        <n v="0.6014"/>
        <n v="0.606"/>
        <n v="0.6064"/>
        <n v="0.6085"/>
        <n v="0.62"/>
        <n v="0.6223"/>
        <n v="0.6424"/>
        <n v="0.6559"/>
        <n v="0.65625"/>
        <n v="0.657"/>
        <n v="0.662666666666667"/>
        <n v="0.665"/>
        <n v="0.6675"/>
        <n v="0.6728"/>
        <n v="0.68125"/>
        <n v="0.6828"/>
        <n v="0.6884"/>
        <n v="0.694"/>
        <n v="0.7016"/>
        <n v="0.703333333333333"/>
        <n v="0.7066"/>
        <n v="0.710333333333333"/>
        <n v="0.713"/>
        <n v="0.716"/>
        <n v="0.71675"/>
        <n v="0.717"/>
        <n v="0.7208"/>
        <n v="0.7305"/>
        <n v="0.7306"/>
        <n v="0.731333333333333"/>
        <n v="0.734"/>
        <n v="0.740666666666667"/>
        <n v="0.7436"/>
        <n v="0.744666666666667"/>
        <n v="0.750333333333333"/>
        <n v="0.7544"/>
        <n v="0.7595"/>
        <n v="0.765125"/>
        <n v="0.7685"/>
        <n v="0.769333333333333"/>
        <n v="0.7745"/>
        <n v="0.7865"/>
        <n v="0.788333333333333"/>
        <n v="0.792666666666667"/>
        <n v="0.7945"/>
        <n v="0.795"/>
        <n v="0.7969"/>
        <n v="0.80125"/>
        <n v="0.811333333333333"/>
        <n v="0.816"/>
        <n v="0.817"/>
        <n v="0.8255"/>
        <n v="0.826"/>
        <n v="0.8274"/>
        <n v="0.828"/>
        <n v="0.837333333333333"/>
        <n v="0.842"/>
        <n v="0.8475"/>
        <n v="0.84825"/>
        <n v="0.851"/>
        <n v="0.857333333333333"/>
        <n v="0.861333333333333"/>
        <n v="0.867"/>
        <n v="0.868"/>
        <n v="0.8702"/>
        <n v="0.871333333333333"/>
        <n v="0.8732"/>
        <n v="0.8864"/>
        <n v="0.8868"/>
        <n v="0.8885"/>
        <n v="0.89575"/>
        <n v="0.899333333333333"/>
        <n v="0.9004"/>
        <n v="0.902666666666667"/>
        <n v="0.906"/>
        <n v="0.908166666666667"/>
        <n v="0.910666666666667"/>
        <n v="0.91625"/>
        <n v="0.92"/>
        <n v="0.9244"/>
        <n v="0.930666666666667"/>
        <n v="0.9372"/>
        <n v="0.941333333333333"/>
        <n v="0.942"/>
        <n v="0.9465"/>
        <n v="0.948"/>
        <n v="0.9488"/>
        <n v="0.9504"/>
        <n v="0.9544"/>
        <n v="0.956"/>
        <n v="0.96675"/>
        <n v="0.968"/>
        <n v="0.978666666666667"/>
        <n v="0.982375"/>
        <n v="0.99075"/>
        <n v="0.998"/>
        <n v="1.0032"/>
        <n v="1.009"/>
        <n v="1.01066666666667"/>
        <n v="1.012"/>
        <n v="1.0128"/>
        <n v="1.01466666666667"/>
        <n v="1.015"/>
        <n v="1.0155"/>
        <n v="1.022"/>
        <n v="1.032"/>
        <n v="1.041875"/>
        <n v="1.0576"/>
        <n v="1.058"/>
        <n v="1.0615"/>
        <n v="1.0647"/>
        <n v="1.06775"/>
        <n v="1.068"/>
        <n v="1.06933333333333"/>
        <n v="1.071"/>
        <n v="1.07375"/>
        <n v="1.078"/>
        <n v="1.07866666666667"/>
        <n v="1.080875"/>
        <n v="1.09225"/>
        <n v="1.1059"/>
        <n v="1.106"/>
        <n v="1.1115"/>
        <n v="1.116"/>
        <n v="1.11733333333333"/>
        <n v="1.118"/>
        <n v="1.122"/>
        <n v="1.13"/>
        <n v="1.136"/>
        <n v="1.1406"/>
        <n v="1.144"/>
        <n v="1.1467"/>
        <n v="1.1485"/>
        <n v="1.173"/>
        <n v="1.17716666666667"/>
        <n v="1.1855"/>
        <n v="1.19516666666667"/>
        <n v="1.197"/>
        <n v="1.19933333333333"/>
        <n v="1.2005"/>
        <n v="1.20133333333333"/>
        <n v="1.2048"/>
        <n v="1.214"/>
        <n v="1.21533333333333"/>
        <n v="1.22133333333333"/>
        <n v="1.22266666666667"/>
        <n v="1.23266666666667"/>
        <n v="1.2332"/>
        <n v="1.2422"/>
        <n v="1.2555"/>
        <n v="1.2584"/>
        <n v="1.263"/>
        <n v="1.266125"/>
        <n v="1.278"/>
        <n v="1.29675"/>
        <n v="1.297"/>
        <n v="1.2974"/>
        <n v="1.2988"/>
        <n v="1.30733333333333"/>
        <n v="1.31533333333333"/>
        <n v="1.32133333333333"/>
        <n v="1.32266666666667"/>
        <n v="1.328"/>
        <n v="1.3318"/>
        <n v="1.332"/>
        <n v="1.3345"/>
        <n v="1.3365"/>
        <n v="1.3412"/>
        <n v="1.3444"/>
        <n v="1.3448"/>
        <n v="1.34483333333333"/>
        <n v="1.34675"/>
        <n v="1.347"/>
        <n v="1.34733333333333"/>
        <n v="1.356"/>
        <n v="1.36133333333333"/>
        <n v="1.36283333333333"/>
        <n v="1.36516666666667"/>
        <n v="1.3724"/>
        <n v="1.3746"/>
        <n v="1.376"/>
        <n v="1.3774"/>
        <n v="1.37833333333333"/>
        <n v="1.382125"/>
        <n v="1.38666666666667"/>
        <n v="1.387"/>
        <n v="1.388125"/>
        <n v="1.3885"/>
        <n v="1.398"/>
        <n v="1.399"/>
        <n v="1.3996"/>
      </sharedItems>
    </cacheField>
    <cacheField name="On_Time_Flag" numFmtId="0">
      <sharedItems count="2">
        <s v="Late"/>
        <s v="On Time"/>
      </sharedItems>
    </cacheField>
    <cacheField name="Task_Age_Category" numFmtId="0">
      <sharedItems count="3">
        <s v="Long (&gt;20 days)"/>
        <s v="Medium (8-20 days)"/>
        <s v="Short (&lt;=7 days)"/>
      </sharedItems>
    </cacheField>
    <cacheField name="Manager_Lookup" numFmtId="0">
      <sharedItems count="6">
        <s v="Ahmed Nabil"/>
        <s v="Laila Samir"/>
        <s v="Mona Farid"/>
        <s v="Nourhan Tarek"/>
        <s v="Sara Hassan"/>
        <s v="Youssef Adel"/>
      </sharedItems>
    </cacheField>
    <cacheField name="Delay_Message" numFmtId="0">
      <sharedItems count="14">
        <s v="Delayed by 1 days"/>
        <s v="Delayed by 10 days"/>
        <s v="Delayed by 11 days"/>
        <s v="Delayed by 12 days"/>
        <s v="Delayed by 14 days"/>
        <s v="Delayed by 15 days"/>
        <s v="Delayed by 2 days"/>
        <s v="Delayed by 3 days"/>
        <s v="Delayed by 4 days"/>
        <s v="Delayed by 5 days"/>
        <s v="Delayed by 6 days"/>
        <s v="Delayed by 7 days"/>
        <s v="Delayed by 9 days"/>
        <s v="No delay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9">
  <r>
    <x v="82"/>
    <x v="3"/>
    <x v="13"/>
    <x v="31"/>
    <x v="0"/>
    <x v="5"/>
    <x v="2"/>
    <x v="1"/>
    <x v="115"/>
    <x v="123"/>
    <x v="84"/>
    <x v="1"/>
    <x v="52"/>
    <x v="25"/>
    <x v="10"/>
    <x v="2"/>
    <x v="1"/>
    <x v="12"/>
    <x v="1"/>
    <x v="17"/>
    <x v="14"/>
    <x v="0"/>
    <x v="157"/>
    <x v="143"/>
    <x v="0"/>
    <x v="0"/>
    <x v="1"/>
    <x v="11"/>
  </r>
  <r>
    <x v="12"/>
    <x v="0"/>
    <x v="14"/>
    <x v="54"/>
    <x v="4"/>
    <x v="5"/>
    <x v="2"/>
    <x v="2"/>
    <x v="145"/>
    <x v="149"/>
    <x v="123"/>
    <x v="1"/>
    <x v="13"/>
    <x v="21"/>
    <x v="3"/>
    <x v="7"/>
    <x v="2"/>
    <x v="11"/>
    <x v="1"/>
    <x v="17"/>
    <x v="14"/>
    <x v="0"/>
    <x v="101"/>
    <x v="37"/>
    <x v="0"/>
    <x v="0"/>
    <x v="2"/>
    <x v="13"/>
  </r>
  <r>
    <x v="51"/>
    <x v="2"/>
    <x v="7"/>
    <x v="117"/>
    <x v="2"/>
    <x v="5"/>
    <x v="2"/>
    <x v="0"/>
    <x v="95"/>
    <x v="99"/>
    <x v="62"/>
    <x v="5"/>
    <x v="194"/>
    <x v="20"/>
    <x v="0"/>
    <x v="0"/>
    <x v="0"/>
    <x v="6"/>
    <x v="2"/>
    <x v="17"/>
    <x v="14"/>
    <x v="0"/>
    <x v="228"/>
    <x v="217"/>
    <x v="1"/>
    <x v="0"/>
    <x v="0"/>
    <x v="13"/>
  </r>
  <r>
    <x v="79"/>
    <x v="3"/>
    <x v="13"/>
    <x v="27"/>
    <x v="3"/>
    <x v="24"/>
    <x v="0"/>
    <x v="0"/>
    <x v="176"/>
    <x v="173"/>
    <x v="110"/>
    <x v="10"/>
    <x v="209"/>
    <x v="2"/>
    <x v="2"/>
    <x v="2"/>
    <x v="1"/>
    <x v="12"/>
    <x v="1"/>
    <x v="1"/>
    <x v="13"/>
    <x v="3"/>
    <x v="261"/>
    <x v="0"/>
    <x v="1"/>
    <x v="2"/>
    <x v="1"/>
    <x v="13"/>
  </r>
  <r>
    <x v="269"/>
    <x v="13"/>
    <x v="11"/>
    <x v="81"/>
    <x v="4"/>
    <x v="15"/>
    <x v="0"/>
    <x v="2"/>
    <x v="84"/>
    <x v="91"/>
    <x v="123"/>
    <x v="5"/>
    <x v="76"/>
    <x v="25"/>
    <x v="3"/>
    <x v="8"/>
    <x v="0"/>
    <x v="2"/>
    <x v="7"/>
    <x v="14"/>
    <x v="3"/>
    <x v="5"/>
    <x v="47"/>
    <x v="42"/>
    <x v="0"/>
    <x v="0"/>
    <x v="0"/>
    <x v="13"/>
  </r>
  <r>
    <x v="101"/>
    <x v="4"/>
    <x v="3"/>
    <x v="108"/>
    <x v="0"/>
    <x v="15"/>
    <x v="1"/>
    <x v="0"/>
    <x v="74"/>
    <x v="66"/>
    <x v="36"/>
    <x v="2"/>
    <x v="135"/>
    <x v="6"/>
    <x v="0"/>
    <x v="5"/>
    <x v="0"/>
    <x v="1"/>
    <x v="0"/>
    <x v="14"/>
    <x v="3"/>
    <x v="5"/>
    <x v="213"/>
    <x v="218"/>
    <x v="1"/>
    <x v="1"/>
    <x v="0"/>
    <x v="13"/>
  </r>
  <r>
    <x v="187"/>
    <x v="9"/>
    <x v="10"/>
    <x v="6"/>
    <x v="2"/>
    <x v="15"/>
    <x v="2"/>
    <x v="3"/>
    <x v="101"/>
    <x v="94"/>
    <x v="123"/>
    <x v="8"/>
    <x v="0"/>
    <x v="2"/>
    <x v="3"/>
    <x v="6"/>
    <x v="4"/>
    <x v="7"/>
    <x v="4"/>
    <x v="14"/>
    <x v="3"/>
    <x v="5"/>
    <x v="1"/>
    <x v="0"/>
    <x v="0"/>
    <x v="2"/>
    <x v="4"/>
    <x v="13"/>
  </r>
  <r>
    <x v="238"/>
    <x v="11"/>
    <x v="1"/>
    <x v="178"/>
    <x v="3"/>
    <x v="15"/>
    <x v="1"/>
    <x v="0"/>
    <x v="20"/>
    <x v="19"/>
    <x v="11"/>
    <x v="1"/>
    <x v="93"/>
    <x v="15"/>
    <x v="3"/>
    <x v="10"/>
    <x v="0"/>
    <x v="3"/>
    <x v="6"/>
    <x v="14"/>
    <x v="3"/>
    <x v="5"/>
    <x v="204"/>
    <x v="223"/>
    <x v="1"/>
    <x v="1"/>
    <x v="0"/>
    <x v="13"/>
  </r>
  <r>
    <x v="148"/>
    <x v="7"/>
    <x v="9"/>
    <x v="30"/>
    <x v="2"/>
    <x v="10"/>
    <x v="2"/>
    <x v="2"/>
    <x v="53"/>
    <x v="55"/>
    <x v="123"/>
    <x v="9"/>
    <x v="205"/>
    <x v="21"/>
    <x v="3"/>
    <x v="9"/>
    <x v="3"/>
    <x v="5"/>
    <x v="7"/>
    <x v="2"/>
    <x v="12"/>
    <x v="5"/>
    <x v="21"/>
    <x v="61"/>
    <x v="0"/>
    <x v="0"/>
    <x v="3"/>
    <x v="13"/>
  </r>
  <r>
    <x v="281"/>
    <x v="13"/>
    <x v="11"/>
    <x v="128"/>
    <x v="2"/>
    <x v="18"/>
    <x v="1"/>
    <x v="0"/>
    <x v="18"/>
    <x v="14"/>
    <x v="10"/>
    <x v="0"/>
    <x v="40"/>
    <x v="12"/>
    <x v="5"/>
    <x v="8"/>
    <x v="0"/>
    <x v="2"/>
    <x v="7"/>
    <x v="26"/>
    <x v="11"/>
    <x v="2"/>
    <x v="184"/>
    <x v="214"/>
    <x v="0"/>
    <x v="1"/>
    <x v="0"/>
    <x v="6"/>
  </r>
  <r>
    <x v="198"/>
    <x v="9"/>
    <x v="10"/>
    <x v="106"/>
    <x v="2"/>
    <x v="18"/>
    <x v="0"/>
    <x v="0"/>
    <x v="61"/>
    <x v="51"/>
    <x v="29"/>
    <x v="3"/>
    <x v="108"/>
    <x v="7"/>
    <x v="5"/>
    <x v="6"/>
    <x v="4"/>
    <x v="7"/>
    <x v="4"/>
    <x v="26"/>
    <x v="11"/>
    <x v="2"/>
    <x v="141"/>
    <x v="130"/>
    <x v="0"/>
    <x v="1"/>
    <x v="4"/>
    <x v="6"/>
  </r>
  <r>
    <x v="205"/>
    <x v="10"/>
    <x v="6"/>
    <x v="104"/>
    <x v="2"/>
    <x v="21"/>
    <x v="0"/>
    <x v="2"/>
    <x v="111"/>
    <x v="111"/>
    <x v="123"/>
    <x v="5"/>
    <x v="101"/>
    <x v="12"/>
    <x v="3"/>
    <x v="4"/>
    <x v="0"/>
    <x v="4"/>
    <x v="5"/>
    <x v="3"/>
    <x v="6"/>
    <x v="1"/>
    <x v="57"/>
    <x v="54"/>
    <x v="0"/>
    <x v="1"/>
    <x v="0"/>
    <x v="13"/>
  </r>
  <r>
    <x v="36"/>
    <x v="1"/>
    <x v="5"/>
    <x v="25"/>
    <x v="5"/>
    <x v="21"/>
    <x v="0"/>
    <x v="3"/>
    <x v="143"/>
    <x v="145"/>
    <x v="123"/>
    <x v="7"/>
    <x v="0"/>
    <x v="20"/>
    <x v="3"/>
    <x v="3"/>
    <x v="5"/>
    <x v="13"/>
    <x v="4"/>
    <x v="3"/>
    <x v="6"/>
    <x v="1"/>
    <x v="6"/>
    <x v="0"/>
    <x v="0"/>
    <x v="0"/>
    <x v="5"/>
    <x v="13"/>
  </r>
  <r>
    <x v="210"/>
    <x v="10"/>
    <x v="6"/>
    <x v="160"/>
    <x v="3"/>
    <x v="12"/>
    <x v="1"/>
    <x v="2"/>
    <x v="44"/>
    <x v="49"/>
    <x v="123"/>
    <x v="1"/>
    <x v="3"/>
    <x v="24"/>
    <x v="3"/>
    <x v="4"/>
    <x v="0"/>
    <x v="4"/>
    <x v="5"/>
    <x v="11"/>
    <x v="0"/>
    <x v="5"/>
    <x v="89"/>
    <x v="10"/>
    <x v="0"/>
    <x v="0"/>
    <x v="0"/>
    <x v="13"/>
  </r>
  <r>
    <x v="90"/>
    <x v="4"/>
    <x v="3"/>
    <x v="159"/>
    <x v="3"/>
    <x v="3"/>
    <x v="2"/>
    <x v="0"/>
    <x v="1"/>
    <x v="0"/>
    <x v="0"/>
    <x v="10"/>
    <x v="133"/>
    <x v="2"/>
    <x v="0"/>
    <x v="5"/>
    <x v="0"/>
    <x v="1"/>
    <x v="0"/>
    <x v="4"/>
    <x v="13"/>
    <x v="3"/>
    <x v="256"/>
    <x v="0"/>
    <x v="1"/>
    <x v="2"/>
    <x v="0"/>
    <x v="13"/>
  </r>
  <r>
    <x v="206"/>
    <x v="10"/>
    <x v="6"/>
    <x v="174"/>
    <x v="2"/>
    <x v="7"/>
    <x v="0"/>
    <x v="3"/>
    <x v="83"/>
    <x v="72"/>
    <x v="123"/>
    <x v="6"/>
    <x v="0"/>
    <x v="5"/>
    <x v="3"/>
    <x v="4"/>
    <x v="0"/>
    <x v="4"/>
    <x v="5"/>
    <x v="5"/>
    <x v="9"/>
    <x v="1"/>
    <x v="12"/>
    <x v="0"/>
    <x v="0"/>
    <x v="1"/>
    <x v="0"/>
    <x v="13"/>
  </r>
  <r>
    <x v="56"/>
    <x v="2"/>
    <x v="7"/>
    <x v="30"/>
    <x v="5"/>
    <x v="22"/>
    <x v="2"/>
    <x v="3"/>
    <x v="126"/>
    <x v="135"/>
    <x v="123"/>
    <x v="0"/>
    <x v="0"/>
    <x v="27"/>
    <x v="3"/>
    <x v="0"/>
    <x v="0"/>
    <x v="6"/>
    <x v="2"/>
    <x v="19"/>
    <x v="10"/>
    <x v="0"/>
    <x v="94"/>
    <x v="0"/>
    <x v="0"/>
    <x v="0"/>
    <x v="0"/>
    <x v="13"/>
  </r>
  <r>
    <x v="207"/>
    <x v="10"/>
    <x v="6"/>
    <x v="190"/>
    <x v="3"/>
    <x v="17"/>
    <x v="1"/>
    <x v="2"/>
    <x v="46"/>
    <x v="35"/>
    <x v="123"/>
    <x v="1"/>
    <x v="10"/>
    <x v="1"/>
    <x v="3"/>
    <x v="4"/>
    <x v="0"/>
    <x v="4"/>
    <x v="5"/>
    <x v="6"/>
    <x v="9"/>
    <x v="1"/>
    <x v="99"/>
    <x v="35"/>
    <x v="0"/>
    <x v="2"/>
    <x v="0"/>
    <x v="13"/>
  </r>
  <r>
    <x v="22"/>
    <x v="1"/>
    <x v="5"/>
    <x v="118"/>
    <x v="0"/>
    <x v="19"/>
    <x v="1"/>
    <x v="0"/>
    <x v="157"/>
    <x v="152"/>
    <x v="99"/>
    <x v="1"/>
    <x v="79"/>
    <x v="8"/>
    <x v="3"/>
    <x v="3"/>
    <x v="5"/>
    <x v="13"/>
    <x v="4"/>
    <x v="7"/>
    <x v="7"/>
    <x v="2"/>
    <x v="189"/>
    <x v="201"/>
    <x v="1"/>
    <x v="1"/>
    <x v="5"/>
    <x v="13"/>
  </r>
  <r>
    <x v="119"/>
    <x v="5"/>
    <x v="2"/>
    <x v="38"/>
    <x v="0"/>
    <x v="0"/>
    <x v="2"/>
    <x v="1"/>
    <x v="110"/>
    <x v="108"/>
    <x v="74"/>
    <x v="5"/>
    <x v="178"/>
    <x v="10"/>
    <x v="14"/>
    <x v="1"/>
    <x v="2"/>
    <x v="4"/>
    <x v="3"/>
    <x v="25"/>
    <x v="11"/>
    <x v="4"/>
    <x v="198"/>
    <x v="182"/>
    <x v="0"/>
    <x v="1"/>
    <x v="2"/>
    <x v="3"/>
  </r>
  <r>
    <x v="98"/>
    <x v="4"/>
    <x v="3"/>
    <x v="73"/>
    <x v="6"/>
    <x v="0"/>
    <x v="2"/>
    <x v="0"/>
    <x v="5"/>
    <x v="6"/>
    <x v="4"/>
    <x v="6"/>
    <x v="187"/>
    <x v="21"/>
    <x v="5"/>
    <x v="5"/>
    <x v="0"/>
    <x v="1"/>
    <x v="0"/>
    <x v="25"/>
    <x v="11"/>
    <x v="4"/>
    <x v="147"/>
    <x v="151"/>
    <x v="0"/>
    <x v="0"/>
    <x v="0"/>
    <x v="6"/>
  </r>
  <r>
    <x v="87"/>
    <x v="4"/>
    <x v="3"/>
    <x v="134"/>
    <x v="3"/>
    <x v="8"/>
    <x v="1"/>
    <x v="0"/>
    <x v="16"/>
    <x v="22"/>
    <x v="12"/>
    <x v="9"/>
    <x v="230"/>
    <x v="26"/>
    <x v="1"/>
    <x v="5"/>
    <x v="0"/>
    <x v="1"/>
    <x v="0"/>
    <x v="8"/>
    <x v="9"/>
    <x v="2"/>
    <x v="52"/>
    <x v="109"/>
    <x v="1"/>
    <x v="0"/>
    <x v="0"/>
    <x v="13"/>
  </r>
  <r>
    <x v="292"/>
    <x v="14"/>
    <x v="4"/>
    <x v="46"/>
    <x v="0"/>
    <x v="1"/>
    <x v="0"/>
    <x v="2"/>
    <x v="138"/>
    <x v="139"/>
    <x v="123"/>
    <x v="5"/>
    <x v="72"/>
    <x v="19"/>
    <x v="3"/>
    <x v="6"/>
    <x v="3"/>
    <x v="9"/>
    <x v="1"/>
    <x v="15"/>
    <x v="8"/>
    <x v="6"/>
    <x v="46"/>
    <x v="40"/>
    <x v="0"/>
    <x v="0"/>
    <x v="3"/>
    <x v="13"/>
  </r>
  <r>
    <x v="296"/>
    <x v="14"/>
    <x v="4"/>
    <x v="146"/>
    <x v="0"/>
    <x v="6"/>
    <x v="2"/>
    <x v="3"/>
    <x v="86"/>
    <x v="88"/>
    <x v="123"/>
    <x v="9"/>
    <x v="0"/>
    <x v="18"/>
    <x v="3"/>
    <x v="6"/>
    <x v="3"/>
    <x v="9"/>
    <x v="1"/>
    <x v="20"/>
    <x v="15"/>
    <x v="4"/>
    <x v="0"/>
    <x v="0"/>
    <x v="0"/>
    <x v="0"/>
    <x v="3"/>
    <x v="13"/>
  </r>
  <r>
    <x v="167"/>
    <x v="8"/>
    <x v="12"/>
    <x v="37"/>
    <x v="6"/>
    <x v="6"/>
    <x v="1"/>
    <x v="0"/>
    <x v="81"/>
    <x v="71"/>
    <x v="42"/>
    <x v="1"/>
    <x v="82"/>
    <x v="6"/>
    <x v="3"/>
    <x v="11"/>
    <x v="1"/>
    <x v="0"/>
    <x v="2"/>
    <x v="20"/>
    <x v="15"/>
    <x v="4"/>
    <x v="191"/>
    <x v="206"/>
    <x v="1"/>
    <x v="1"/>
    <x v="1"/>
    <x v="13"/>
  </r>
  <r>
    <x v="145"/>
    <x v="7"/>
    <x v="9"/>
    <x v="90"/>
    <x v="0"/>
    <x v="13"/>
    <x v="0"/>
    <x v="1"/>
    <x v="126"/>
    <x v="127"/>
    <x v="85"/>
    <x v="0"/>
    <x v="46"/>
    <x v="15"/>
    <x v="8"/>
    <x v="9"/>
    <x v="3"/>
    <x v="5"/>
    <x v="7"/>
    <x v="21"/>
    <x v="15"/>
    <x v="1"/>
    <x v="196"/>
    <x v="235"/>
    <x v="0"/>
    <x v="1"/>
    <x v="3"/>
    <x v="9"/>
  </r>
  <r>
    <x v="144"/>
    <x v="7"/>
    <x v="9"/>
    <x v="173"/>
    <x v="6"/>
    <x v="20"/>
    <x v="2"/>
    <x v="3"/>
    <x v="107"/>
    <x v="99"/>
    <x v="123"/>
    <x v="0"/>
    <x v="0"/>
    <x v="1"/>
    <x v="3"/>
    <x v="9"/>
    <x v="3"/>
    <x v="5"/>
    <x v="7"/>
    <x v="22"/>
    <x v="15"/>
    <x v="1"/>
    <x v="94"/>
    <x v="0"/>
    <x v="0"/>
    <x v="2"/>
    <x v="3"/>
    <x v="13"/>
  </r>
  <r>
    <x v="116"/>
    <x v="5"/>
    <x v="2"/>
    <x v="105"/>
    <x v="6"/>
    <x v="26"/>
    <x v="2"/>
    <x v="0"/>
    <x v="117"/>
    <x v="121"/>
    <x v="80"/>
    <x v="9"/>
    <x v="253"/>
    <x v="20"/>
    <x v="5"/>
    <x v="1"/>
    <x v="2"/>
    <x v="4"/>
    <x v="3"/>
    <x v="12"/>
    <x v="4"/>
    <x v="3"/>
    <x v="255"/>
    <x v="211"/>
    <x v="0"/>
    <x v="0"/>
    <x v="2"/>
    <x v="6"/>
  </r>
  <r>
    <x v="297"/>
    <x v="14"/>
    <x v="4"/>
    <x v="14"/>
    <x v="3"/>
    <x v="11"/>
    <x v="1"/>
    <x v="1"/>
    <x v="136"/>
    <x v="138"/>
    <x v="91"/>
    <x v="2"/>
    <x v="118"/>
    <x v="20"/>
    <x v="4"/>
    <x v="6"/>
    <x v="3"/>
    <x v="9"/>
    <x v="1"/>
    <x v="10"/>
    <x v="2"/>
    <x v="4"/>
    <x v="188"/>
    <x v="195"/>
    <x v="0"/>
    <x v="0"/>
    <x v="3"/>
    <x v="0"/>
  </r>
  <r>
    <x v="46"/>
    <x v="2"/>
    <x v="7"/>
    <x v="115"/>
    <x v="2"/>
    <x v="18"/>
    <x v="2"/>
    <x v="0"/>
    <x v="24"/>
    <x v="24"/>
    <x v="15"/>
    <x v="1"/>
    <x v="43"/>
    <x v="17"/>
    <x v="3"/>
    <x v="0"/>
    <x v="0"/>
    <x v="6"/>
    <x v="2"/>
    <x v="26"/>
    <x v="11"/>
    <x v="2"/>
    <x v="148"/>
    <x v="123"/>
    <x v="1"/>
    <x v="1"/>
    <x v="0"/>
    <x v="13"/>
  </r>
  <r>
    <x v="49"/>
    <x v="2"/>
    <x v="7"/>
    <x v="18"/>
    <x v="1"/>
    <x v="14"/>
    <x v="0"/>
    <x v="0"/>
    <x v="128"/>
    <x v="126"/>
    <x v="82"/>
    <x v="6"/>
    <x v="167"/>
    <x v="12"/>
    <x v="1"/>
    <x v="0"/>
    <x v="0"/>
    <x v="6"/>
    <x v="2"/>
    <x v="23"/>
    <x v="15"/>
    <x v="2"/>
    <x v="77"/>
    <x v="91"/>
    <x v="1"/>
    <x v="1"/>
    <x v="0"/>
    <x v="13"/>
  </r>
  <r>
    <x v="65"/>
    <x v="3"/>
    <x v="13"/>
    <x v="161"/>
    <x v="2"/>
    <x v="26"/>
    <x v="0"/>
    <x v="0"/>
    <x v="172"/>
    <x v="175"/>
    <x v="113"/>
    <x v="0"/>
    <x v="53"/>
    <x v="20"/>
    <x v="0"/>
    <x v="2"/>
    <x v="1"/>
    <x v="12"/>
    <x v="1"/>
    <x v="12"/>
    <x v="4"/>
    <x v="3"/>
    <x v="200"/>
    <x v="252"/>
    <x v="1"/>
    <x v="0"/>
    <x v="1"/>
    <x v="13"/>
  </r>
  <r>
    <x v="300"/>
    <x v="14"/>
    <x v="4"/>
    <x v="59"/>
    <x v="2"/>
    <x v="15"/>
    <x v="0"/>
    <x v="2"/>
    <x v="105"/>
    <x v="102"/>
    <x v="123"/>
    <x v="3"/>
    <x v="65"/>
    <x v="7"/>
    <x v="3"/>
    <x v="6"/>
    <x v="3"/>
    <x v="9"/>
    <x v="1"/>
    <x v="14"/>
    <x v="3"/>
    <x v="5"/>
    <x v="100"/>
    <x v="69"/>
    <x v="0"/>
    <x v="1"/>
    <x v="3"/>
    <x v="13"/>
  </r>
  <r>
    <x v="15"/>
    <x v="0"/>
    <x v="14"/>
    <x v="155"/>
    <x v="1"/>
    <x v="12"/>
    <x v="2"/>
    <x v="1"/>
    <x v="181"/>
    <x v="180"/>
    <x v="116"/>
    <x v="1"/>
    <x v="71"/>
    <x v="8"/>
    <x v="1"/>
    <x v="7"/>
    <x v="2"/>
    <x v="11"/>
    <x v="1"/>
    <x v="11"/>
    <x v="0"/>
    <x v="5"/>
    <x v="179"/>
    <x v="187"/>
    <x v="0"/>
    <x v="1"/>
    <x v="2"/>
    <x v="13"/>
  </r>
  <r>
    <x v="200"/>
    <x v="9"/>
    <x v="10"/>
    <x v="44"/>
    <x v="2"/>
    <x v="11"/>
    <x v="0"/>
    <x v="3"/>
    <x v="143"/>
    <x v="140"/>
    <x v="123"/>
    <x v="0"/>
    <x v="0"/>
    <x v="15"/>
    <x v="3"/>
    <x v="6"/>
    <x v="4"/>
    <x v="7"/>
    <x v="4"/>
    <x v="10"/>
    <x v="2"/>
    <x v="4"/>
    <x v="94"/>
    <x v="0"/>
    <x v="0"/>
    <x v="1"/>
    <x v="4"/>
    <x v="13"/>
  </r>
  <r>
    <x v="114"/>
    <x v="5"/>
    <x v="2"/>
    <x v="124"/>
    <x v="3"/>
    <x v="22"/>
    <x v="0"/>
    <x v="3"/>
    <x v="77"/>
    <x v="67"/>
    <x v="123"/>
    <x v="6"/>
    <x v="0"/>
    <x v="5"/>
    <x v="3"/>
    <x v="1"/>
    <x v="2"/>
    <x v="4"/>
    <x v="3"/>
    <x v="19"/>
    <x v="10"/>
    <x v="0"/>
    <x v="12"/>
    <x v="0"/>
    <x v="0"/>
    <x v="1"/>
    <x v="2"/>
    <x v="13"/>
  </r>
  <r>
    <x v="105"/>
    <x v="5"/>
    <x v="2"/>
    <x v="53"/>
    <x v="4"/>
    <x v="5"/>
    <x v="2"/>
    <x v="1"/>
    <x v="70"/>
    <x v="79"/>
    <x v="47"/>
    <x v="4"/>
    <x v="131"/>
    <x v="27"/>
    <x v="2"/>
    <x v="1"/>
    <x v="2"/>
    <x v="4"/>
    <x v="3"/>
    <x v="17"/>
    <x v="14"/>
    <x v="0"/>
    <x v="126"/>
    <x v="118"/>
    <x v="0"/>
    <x v="0"/>
    <x v="2"/>
    <x v="13"/>
  </r>
  <r>
    <x v="191"/>
    <x v="9"/>
    <x v="10"/>
    <x v="165"/>
    <x v="4"/>
    <x v="17"/>
    <x v="2"/>
    <x v="2"/>
    <x v="99"/>
    <x v="102"/>
    <x v="123"/>
    <x v="4"/>
    <x v="28"/>
    <x v="14"/>
    <x v="3"/>
    <x v="6"/>
    <x v="4"/>
    <x v="7"/>
    <x v="4"/>
    <x v="6"/>
    <x v="9"/>
    <x v="1"/>
    <x v="55"/>
    <x v="22"/>
    <x v="0"/>
    <x v="1"/>
    <x v="4"/>
    <x v="13"/>
  </r>
  <r>
    <x v="298"/>
    <x v="14"/>
    <x v="4"/>
    <x v="150"/>
    <x v="0"/>
    <x v="15"/>
    <x v="1"/>
    <x v="0"/>
    <x v="97"/>
    <x v="100"/>
    <x v="64"/>
    <x v="9"/>
    <x v="245"/>
    <x v="14"/>
    <x v="2"/>
    <x v="6"/>
    <x v="3"/>
    <x v="9"/>
    <x v="1"/>
    <x v="14"/>
    <x v="3"/>
    <x v="5"/>
    <x v="215"/>
    <x v="173"/>
    <x v="1"/>
    <x v="1"/>
    <x v="3"/>
    <x v="13"/>
  </r>
  <r>
    <x v="172"/>
    <x v="8"/>
    <x v="12"/>
    <x v="120"/>
    <x v="5"/>
    <x v="11"/>
    <x v="1"/>
    <x v="2"/>
    <x v="20"/>
    <x v="18"/>
    <x v="123"/>
    <x v="3"/>
    <x v="37"/>
    <x v="13"/>
    <x v="3"/>
    <x v="11"/>
    <x v="1"/>
    <x v="0"/>
    <x v="2"/>
    <x v="10"/>
    <x v="2"/>
    <x v="4"/>
    <x v="81"/>
    <x v="50"/>
    <x v="0"/>
    <x v="1"/>
    <x v="1"/>
    <x v="13"/>
  </r>
  <r>
    <x v="132"/>
    <x v="6"/>
    <x v="8"/>
    <x v="85"/>
    <x v="2"/>
    <x v="15"/>
    <x v="1"/>
    <x v="0"/>
    <x v="129"/>
    <x v="122"/>
    <x v="78"/>
    <x v="1"/>
    <x v="70"/>
    <x v="6"/>
    <x v="0"/>
    <x v="6"/>
    <x v="1"/>
    <x v="10"/>
    <x v="3"/>
    <x v="14"/>
    <x v="3"/>
    <x v="5"/>
    <x v="178"/>
    <x v="186"/>
    <x v="1"/>
    <x v="1"/>
    <x v="1"/>
    <x v="13"/>
  </r>
  <r>
    <x v="204"/>
    <x v="10"/>
    <x v="6"/>
    <x v="3"/>
    <x v="0"/>
    <x v="19"/>
    <x v="0"/>
    <x v="2"/>
    <x v="81"/>
    <x v="79"/>
    <x v="123"/>
    <x v="0"/>
    <x v="2"/>
    <x v="14"/>
    <x v="3"/>
    <x v="4"/>
    <x v="0"/>
    <x v="4"/>
    <x v="5"/>
    <x v="7"/>
    <x v="7"/>
    <x v="2"/>
    <x v="110"/>
    <x v="24"/>
    <x v="0"/>
    <x v="1"/>
    <x v="0"/>
    <x v="13"/>
  </r>
  <r>
    <x v="176"/>
    <x v="8"/>
    <x v="12"/>
    <x v="49"/>
    <x v="4"/>
    <x v="26"/>
    <x v="0"/>
    <x v="3"/>
    <x v="46"/>
    <x v="40"/>
    <x v="123"/>
    <x v="2"/>
    <x v="0"/>
    <x v="9"/>
    <x v="3"/>
    <x v="11"/>
    <x v="1"/>
    <x v="0"/>
    <x v="2"/>
    <x v="12"/>
    <x v="4"/>
    <x v="3"/>
    <x v="54"/>
    <x v="0"/>
    <x v="0"/>
    <x v="1"/>
    <x v="1"/>
    <x v="13"/>
  </r>
  <r>
    <x v="171"/>
    <x v="8"/>
    <x v="12"/>
    <x v="66"/>
    <x v="3"/>
    <x v="11"/>
    <x v="2"/>
    <x v="0"/>
    <x v="30"/>
    <x v="34"/>
    <x v="18"/>
    <x v="7"/>
    <x v="236"/>
    <x v="22"/>
    <x v="2"/>
    <x v="11"/>
    <x v="1"/>
    <x v="0"/>
    <x v="2"/>
    <x v="10"/>
    <x v="2"/>
    <x v="4"/>
    <x v="252"/>
    <x v="240"/>
    <x v="1"/>
    <x v="0"/>
    <x v="1"/>
    <x v="13"/>
  </r>
  <r>
    <x v="184"/>
    <x v="9"/>
    <x v="10"/>
    <x v="147"/>
    <x v="1"/>
    <x v="1"/>
    <x v="1"/>
    <x v="2"/>
    <x v="136"/>
    <x v="135"/>
    <x v="123"/>
    <x v="8"/>
    <x v="155"/>
    <x v="14"/>
    <x v="3"/>
    <x v="6"/>
    <x v="4"/>
    <x v="7"/>
    <x v="4"/>
    <x v="15"/>
    <x v="8"/>
    <x v="6"/>
    <x v="16"/>
    <x v="39"/>
    <x v="0"/>
    <x v="1"/>
    <x v="4"/>
    <x v="13"/>
  </r>
  <r>
    <x v="133"/>
    <x v="6"/>
    <x v="8"/>
    <x v="100"/>
    <x v="4"/>
    <x v="22"/>
    <x v="0"/>
    <x v="2"/>
    <x v="127"/>
    <x v="135"/>
    <x v="123"/>
    <x v="9"/>
    <x v="174"/>
    <x v="26"/>
    <x v="3"/>
    <x v="6"/>
    <x v="1"/>
    <x v="10"/>
    <x v="3"/>
    <x v="19"/>
    <x v="10"/>
    <x v="0"/>
    <x v="5"/>
    <x v="33"/>
    <x v="0"/>
    <x v="0"/>
    <x v="1"/>
    <x v="13"/>
  </r>
  <r>
    <x v="59"/>
    <x v="2"/>
    <x v="7"/>
    <x v="19"/>
    <x v="6"/>
    <x v="12"/>
    <x v="2"/>
    <x v="1"/>
    <x v="95"/>
    <x v="82"/>
    <x v="54"/>
    <x v="8"/>
    <x v="213"/>
    <x v="0"/>
    <x v="8"/>
    <x v="0"/>
    <x v="0"/>
    <x v="6"/>
    <x v="2"/>
    <x v="11"/>
    <x v="0"/>
    <x v="5"/>
    <x v="63"/>
    <x v="104"/>
    <x v="0"/>
    <x v="2"/>
    <x v="0"/>
    <x v="9"/>
  </r>
  <r>
    <x v="64"/>
    <x v="3"/>
    <x v="13"/>
    <x v="129"/>
    <x v="1"/>
    <x v="14"/>
    <x v="0"/>
    <x v="3"/>
    <x v="168"/>
    <x v="167"/>
    <x v="123"/>
    <x v="1"/>
    <x v="0"/>
    <x v="16"/>
    <x v="3"/>
    <x v="2"/>
    <x v="1"/>
    <x v="12"/>
    <x v="1"/>
    <x v="23"/>
    <x v="15"/>
    <x v="2"/>
    <x v="73"/>
    <x v="0"/>
    <x v="0"/>
    <x v="1"/>
    <x v="1"/>
    <x v="13"/>
  </r>
  <r>
    <x v="85"/>
    <x v="4"/>
    <x v="3"/>
    <x v="142"/>
    <x v="0"/>
    <x v="3"/>
    <x v="1"/>
    <x v="0"/>
    <x v="45"/>
    <x v="50"/>
    <x v="28"/>
    <x v="2"/>
    <x v="110"/>
    <x v="24"/>
    <x v="4"/>
    <x v="5"/>
    <x v="0"/>
    <x v="1"/>
    <x v="0"/>
    <x v="4"/>
    <x v="13"/>
    <x v="3"/>
    <x v="182"/>
    <x v="188"/>
    <x v="0"/>
    <x v="0"/>
    <x v="0"/>
    <x v="0"/>
  </r>
  <r>
    <x v="35"/>
    <x v="1"/>
    <x v="5"/>
    <x v="30"/>
    <x v="5"/>
    <x v="18"/>
    <x v="2"/>
    <x v="2"/>
    <x v="185"/>
    <x v="188"/>
    <x v="123"/>
    <x v="4"/>
    <x v="120"/>
    <x v="19"/>
    <x v="3"/>
    <x v="3"/>
    <x v="5"/>
    <x v="13"/>
    <x v="4"/>
    <x v="26"/>
    <x v="11"/>
    <x v="2"/>
    <x v="111"/>
    <x v="105"/>
    <x v="0"/>
    <x v="0"/>
    <x v="5"/>
    <x v="13"/>
  </r>
  <r>
    <x v="259"/>
    <x v="12"/>
    <x v="0"/>
    <x v="163"/>
    <x v="4"/>
    <x v="9"/>
    <x v="0"/>
    <x v="0"/>
    <x v="122"/>
    <x v="120"/>
    <x v="78"/>
    <x v="6"/>
    <x v="191"/>
    <x v="12"/>
    <x v="3"/>
    <x v="6"/>
    <x v="3"/>
    <x v="8"/>
    <x v="5"/>
    <x v="0"/>
    <x v="13"/>
    <x v="0"/>
    <x v="164"/>
    <x v="159"/>
    <x v="1"/>
    <x v="1"/>
    <x v="3"/>
    <x v="13"/>
  </r>
  <r>
    <x v="67"/>
    <x v="3"/>
    <x v="13"/>
    <x v="159"/>
    <x v="6"/>
    <x v="15"/>
    <x v="1"/>
    <x v="1"/>
    <x v="169"/>
    <x v="168"/>
    <x v="109"/>
    <x v="6"/>
    <x v="184"/>
    <x v="14"/>
    <x v="7"/>
    <x v="2"/>
    <x v="1"/>
    <x v="12"/>
    <x v="1"/>
    <x v="14"/>
    <x v="3"/>
    <x v="5"/>
    <x v="139"/>
    <x v="144"/>
    <x v="0"/>
    <x v="1"/>
    <x v="1"/>
    <x v="8"/>
  </r>
  <r>
    <x v="199"/>
    <x v="9"/>
    <x v="10"/>
    <x v="40"/>
    <x v="0"/>
    <x v="4"/>
    <x v="2"/>
    <x v="2"/>
    <x v="45"/>
    <x v="48"/>
    <x v="123"/>
    <x v="5"/>
    <x v="150"/>
    <x v="22"/>
    <x v="3"/>
    <x v="6"/>
    <x v="4"/>
    <x v="7"/>
    <x v="4"/>
    <x v="18"/>
    <x v="14"/>
    <x v="6"/>
    <x v="96"/>
    <x v="101"/>
    <x v="0"/>
    <x v="0"/>
    <x v="4"/>
    <x v="13"/>
  </r>
  <r>
    <x v="256"/>
    <x v="12"/>
    <x v="0"/>
    <x v="189"/>
    <x v="2"/>
    <x v="21"/>
    <x v="0"/>
    <x v="0"/>
    <x v="51"/>
    <x v="53"/>
    <x v="29"/>
    <x v="6"/>
    <x v="219"/>
    <x v="21"/>
    <x v="2"/>
    <x v="6"/>
    <x v="3"/>
    <x v="8"/>
    <x v="5"/>
    <x v="3"/>
    <x v="6"/>
    <x v="1"/>
    <x v="242"/>
    <x v="230"/>
    <x v="1"/>
    <x v="0"/>
    <x v="3"/>
    <x v="13"/>
  </r>
  <r>
    <x v="241"/>
    <x v="11"/>
    <x v="1"/>
    <x v="166"/>
    <x v="4"/>
    <x v="14"/>
    <x v="2"/>
    <x v="0"/>
    <x v="90"/>
    <x v="88"/>
    <x v="54"/>
    <x v="1"/>
    <x v="100"/>
    <x v="14"/>
    <x v="2"/>
    <x v="10"/>
    <x v="0"/>
    <x v="3"/>
    <x v="6"/>
    <x v="23"/>
    <x v="15"/>
    <x v="2"/>
    <x v="210"/>
    <x v="247"/>
    <x v="1"/>
    <x v="1"/>
    <x v="0"/>
    <x v="13"/>
  </r>
  <r>
    <x v="42"/>
    <x v="2"/>
    <x v="7"/>
    <x v="72"/>
    <x v="1"/>
    <x v="19"/>
    <x v="0"/>
    <x v="2"/>
    <x v="80"/>
    <x v="82"/>
    <x v="123"/>
    <x v="4"/>
    <x v="15"/>
    <x v="19"/>
    <x v="3"/>
    <x v="0"/>
    <x v="0"/>
    <x v="6"/>
    <x v="2"/>
    <x v="7"/>
    <x v="7"/>
    <x v="2"/>
    <x v="45"/>
    <x v="4"/>
    <x v="0"/>
    <x v="0"/>
    <x v="0"/>
    <x v="13"/>
  </r>
  <r>
    <x v="202"/>
    <x v="10"/>
    <x v="6"/>
    <x v="106"/>
    <x v="4"/>
    <x v="22"/>
    <x v="1"/>
    <x v="0"/>
    <x v="77"/>
    <x v="67"/>
    <x v="40"/>
    <x v="8"/>
    <x v="243"/>
    <x v="5"/>
    <x v="5"/>
    <x v="4"/>
    <x v="0"/>
    <x v="4"/>
    <x v="5"/>
    <x v="19"/>
    <x v="10"/>
    <x v="0"/>
    <x v="235"/>
    <x v="198"/>
    <x v="0"/>
    <x v="1"/>
    <x v="0"/>
    <x v="6"/>
  </r>
  <r>
    <x v="270"/>
    <x v="13"/>
    <x v="11"/>
    <x v="192"/>
    <x v="5"/>
    <x v="18"/>
    <x v="1"/>
    <x v="0"/>
    <x v="57"/>
    <x v="58"/>
    <x v="32"/>
    <x v="5"/>
    <x v="180"/>
    <x v="20"/>
    <x v="3"/>
    <x v="8"/>
    <x v="0"/>
    <x v="2"/>
    <x v="7"/>
    <x v="26"/>
    <x v="11"/>
    <x v="2"/>
    <x v="202"/>
    <x v="185"/>
    <x v="1"/>
    <x v="0"/>
    <x v="0"/>
    <x v="13"/>
  </r>
  <r>
    <x v="284"/>
    <x v="13"/>
    <x v="11"/>
    <x v="5"/>
    <x v="0"/>
    <x v="18"/>
    <x v="1"/>
    <x v="2"/>
    <x v="6"/>
    <x v="4"/>
    <x v="123"/>
    <x v="8"/>
    <x v="147"/>
    <x v="2"/>
    <x v="3"/>
    <x v="8"/>
    <x v="0"/>
    <x v="2"/>
    <x v="7"/>
    <x v="26"/>
    <x v="11"/>
    <x v="2"/>
    <x v="11"/>
    <x v="29"/>
    <x v="0"/>
    <x v="2"/>
    <x v="0"/>
    <x v="13"/>
  </r>
  <r>
    <x v="73"/>
    <x v="3"/>
    <x v="13"/>
    <x v="136"/>
    <x v="3"/>
    <x v="21"/>
    <x v="2"/>
    <x v="0"/>
    <x v="147"/>
    <x v="150"/>
    <x v="97"/>
    <x v="1"/>
    <x v="54"/>
    <x v="24"/>
    <x v="4"/>
    <x v="2"/>
    <x v="1"/>
    <x v="12"/>
    <x v="1"/>
    <x v="3"/>
    <x v="6"/>
    <x v="1"/>
    <x v="159"/>
    <x v="145"/>
    <x v="0"/>
    <x v="0"/>
    <x v="1"/>
    <x v="0"/>
  </r>
  <r>
    <x v="277"/>
    <x v="13"/>
    <x v="11"/>
    <x v="95"/>
    <x v="3"/>
    <x v="8"/>
    <x v="2"/>
    <x v="1"/>
    <x v="96"/>
    <x v="105"/>
    <x v="73"/>
    <x v="1"/>
    <x v="59"/>
    <x v="25"/>
    <x v="16"/>
    <x v="8"/>
    <x v="0"/>
    <x v="2"/>
    <x v="7"/>
    <x v="8"/>
    <x v="9"/>
    <x v="2"/>
    <x v="162"/>
    <x v="158"/>
    <x v="0"/>
    <x v="0"/>
    <x v="0"/>
    <x v="5"/>
  </r>
  <r>
    <x v="290"/>
    <x v="14"/>
    <x v="4"/>
    <x v="62"/>
    <x v="0"/>
    <x v="2"/>
    <x v="2"/>
    <x v="0"/>
    <x v="83"/>
    <x v="89"/>
    <x v="56"/>
    <x v="4"/>
    <x v="145"/>
    <x v="24"/>
    <x v="4"/>
    <x v="6"/>
    <x v="3"/>
    <x v="9"/>
    <x v="1"/>
    <x v="24"/>
    <x v="11"/>
    <x v="4"/>
    <x v="161"/>
    <x v="155"/>
    <x v="0"/>
    <x v="0"/>
    <x v="3"/>
    <x v="0"/>
  </r>
  <r>
    <x v="252"/>
    <x v="12"/>
    <x v="0"/>
    <x v="148"/>
    <x v="6"/>
    <x v="10"/>
    <x v="1"/>
    <x v="0"/>
    <x v="81"/>
    <x v="74"/>
    <x v="44"/>
    <x v="2"/>
    <x v="141"/>
    <x v="9"/>
    <x v="3"/>
    <x v="6"/>
    <x v="3"/>
    <x v="8"/>
    <x v="5"/>
    <x v="2"/>
    <x v="12"/>
    <x v="5"/>
    <x v="219"/>
    <x v="250"/>
    <x v="1"/>
    <x v="1"/>
    <x v="3"/>
    <x v="13"/>
  </r>
  <r>
    <x v="5"/>
    <x v="0"/>
    <x v="14"/>
    <x v="74"/>
    <x v="1"/>
    <x v="7"/>
    <x v="0"/>
    <x v="1"/>
    <x v="171"/>
    <x v="172"/>
    <x v="112"/>
    <x v="6"/>
    <x v="217"/>
    <x v="15"/>
    <x v="6"/>
    <x v="7"/>
    <x v="2"/>
    <x v="11"/>
    <x v="1"/>
    <x v="5"/>
    <x v="9"/>
    <x v="1"/>
    <x v="240"/>
    <x v="226"/>
    <x v="0"/>
    <x v="1"/>
    <x v="2"/>
    <x v="7"/>
  </r>
  <r>
    <x v="289"/>
    <x v="14"/>
    <x v="4"/>
    <x v="69"/>
    <x v="0"/>
    <x v="10"/>
    <x v="1"/>
    <x v="2"/>
    <x v="76"/>
    <x v="83"/>
    <x v="123"/>
    <x v="1"/>
    <x v="4"/>
    <x v="24"/>
    <x v="3"/>
    <x v="6"/>
    <x v="3"/>
    <x v="9"/>
    <x v="1"/>
    <x v="2"/>
    <x v="12"/>
    <x v="5"/>
    <x v="92"/>
    <x v="13"/>
    <x v="0"/>
    <x v="0"/>
    <x v="3"/>
    <x v="13"/>
  </r>
  <r>
    <x v="264"/>
    <x v="13"/>
    <x v="11"/>
    <x v="64"/>
    <x v="0"/>
    <x v="22"/>
    <x v="0"/>
    <x v="0"/>
    <x v="6"/>
    <x v="5"/>
    <x v="3"/>
    <x v="7"/>
    <x v="208"/>
    <x v="6"/>
    <x v="2"/>
    <x v="8"/>
    <x v="0"/>
    <x v="2"/>
    <x v="7"/>
    <x v="19"/>
    <x v="10"/>
    <x v="0"/>
    <x v="170"/>
    <x v="166"/>
    <x v="1"/>
    <x v="1"/>
    <x v="0"/>
    <x v="13"/>
  </r>
  <r>
    <x v="245"/>
    <x v="12"/>
    <x v="0"/>
    <x v="160"/>
    <x v="5"/>
    <x v="24"/>
    <x v="2"/>
    <x v="0"/>
    <x v="142"/>
    <x v="132"/>
    <x v="86"/>
    <x v="0"/>
    <x v="31"/>
    <x v="4"/>
    <x v="3"/>
    <x v="6"/>
    <x v="3"/>
    <x v="8"/>
    <x v="5"/>
    <x v="1"/>
    <x v="13"/>
    <x v="3"/>
    <x v="169"/>
    <x v="177"/>
    <x v="1"/>
    <x v="2"/>
    <x v="3"/>
    <x v="13"/>
  </r>
  <r>
    <x v="216"/>
    <x v="10"/>
    <x v="6"/>
    <x v="180"/>
    <x v="0"/>
    <x v="16"/>
    <x v="0"/>
    <x v="1"/>
    <x v="73"/>
    <x v="79"/>
    <x v="55"/>
    <x v="5"/>
    <x v="165"/>
    <x v="23"/>
    <x v="13"/>
    <x v="4"/>
    <x v="0"/>
    <x v="4"/>
    <x v="5"/>
    <x v="13"/>
    <x v="1"/>
    <x v="3"/>
    <x v="128"/>
    <x v="132"/>
    <x v="0"/>
    <x v="0"/>
    <x v="0"/>
    <x v="2"/>
  </r>
  <r>
    <x v="195"/>
    <x v="9"/>
    <x v="10"/>
    <x v="188"/>
    <x v="1"/>
    <x v="7"/>
    <x v="2"/>
    <x v="0"/>
    <x v="114"/>
    <x v="119"/>
    <x v="76"/>
    <x v="2"/>
    <x v="89"/>
    <x v="21"/>
    <x v="3"/>
    <x v="6"/>
    <x v="4"/>
    <x v="7"/>
    <x v="4"/>
    <x v="5"/>
    <x v="9"/>
    <x v="1"/>
    <x v="157"/>
    <x v="148"/>
    <x v="1"/>
    <x v="0"/>
    <x v="4"/>
    <x v="13"/>
  </r>
  <r>
    <x v="201"/>
    <x v="9"/>
    <x v="10"/>
    <x v="4"/>
    <x v="6"/>
    <x v="12"/>
    <x v="1"/>
    <x v="3"/>
    <x v="63"/>
    <x v="68"/>
    <x v="123"/>
    <x v="8"/>
    <x v="0"/>
    <x v="27"/>
    <x v="3"/>
    <x v="6"/>
    <x v="4"/>
    <x v="7"/>
    <x v="4"/>
    <x v="11"/>
    <x v="0"/>
    <x v="5"/>
    <x v="1"/>
    <x v="0"/>
    <x v="0"/>
    <x v="0"/>
    <x v="4"/>
    <x v="13"/>
  </r>
  <r>
    <x v="180"/>
    <x v="8"/>
    <x v="12"/>
    <x v="87"/>
    <x v="4"/>
    <x v="17"/>
    <x v="2"/>
    <x v="2"/>
    <x v="0"/>
    <x v="1"/>
    <x v="123"/>
    <x v="1"/>
    <x v="1"/>
    <x v="18"/>
    <x v="3"/>
    <x v="11"/>
    <x v="1"/>
    <x v="0"/>
    <x v="2"/>
    <x v="6"/>
    <x v="9"/>
    <x v="1"/>
    <x v="87"/>
    <x v="3"/>
    <x v="0"/>
    <x v="0"/>
    <x v="1"/>
    <x v="13"/>
  </r>
  <r>
    <x v="43"/>
    <x v="2"/>
    <x v="7"/>
    <x v="154"/>
    <x v="4"/>
    <x v="1"/>
    <x v="2"/>
    <x v="0"/>
    <x v="131"/>
    <x v="129"/>
    <x v="85"/>
    <x v="7"/>
    <x v="237"/>
    <x v="13"/>
    <x v="5"/>
    <x v="0"/>
    <x v="0"/>
    <x v="6"/>
    <x v="2"/>
    <x v="15"/>
    <x v="8"/>
    <x v="6"/>
    <x v="254"/>
    <x v="245"/>
    <x v="0"/>
    <x v="1"/>
    <x v="0"/>
    <x v="6"/>
  </r>
  <r>
    <x v="212"/>
    <x v="10"/>
    <x v="6"/>
    <x v="186"/>
    <x v="4"/>
    <x v="6"/>
    <x v="0"/>
    <x v="0"/>
    <x v="32"/>
    <x v="35"/>
    <x v="19"/>
    <x v="3"/>
    <x v="162"/>
    <x v="21"/>
    <x v="3"/>
    <x v="4"/>
    <x v="0"/>
    <x v="4"/>
    <x v="5"/>
    <x v="20"/>
    <x v="15"/>
    <x v="4"/>
    <x v="223"/>
    <x v="251"/>
    <x v="1"/>
    <x v="0"/>
    <x v="0"/>
    <x v="13"/>
  </r>
  <r>
    <x v="185"/>
    <x v="9"/>
    <x v="10"/>
    <x v="151"/>
    <x v="1"/>
    <x v="26"/>
    <x v="0"/>
    <x v="2"/>
    <x v="42"/>
    <x v="36"/>
    <x v="123"/>
    <x v="0"/>
    <x v="8"/>
    <x v="7"/>
    <x v="3"/>
    <x v="6"/>
    <x v="4"/>
    <x v="7"/>
    <x v="4"/>
    <x v="12"/>
    <x v="4"/>
    <x v="3"/>
    <x v="123"/>
    <x v="47"/>
    <x v="0"/>
    <x v="1"/>
    <x v="4"/>
    <x v="13"/>
  </r>
  <r>
    <x v="288"/>
    <x v="14"/>
    <x v="4"/>
    <x v="135"/>
    <x v="0"/>
    <x v="14"/>
    <x v="2"/>
    <x v="0"/>
    <x v="115"/>
    <x v="110"/>
    <x v="70"/>
    <x v="4"/>
    <x v="129"/>
    <x v="6"/>
    <x v="4"/>
    <x v="6"/>
    <x v="3"/>
    <x v="9"/>
    <x v="1"/>
    <x v="23"/>
    <x v="15"/>
    <x v="2"/>
    <x v="124"/>
    <x v="117"/>
    <x v="0"/>
    <x v="1"/>
    <x v="3"/>
    <x v="0"/>
  </r>
  <r>
    <x v="150"/>
    <x v="7"/>
    <x v="9"/>
    <x v="16"/>
    <x v="3"/>
    <x v="22"/>
    <x v="2"/>
    <x v="0"/>
    <x v="25"/>
    <x v="14"/>
    <x v="8"/>
    <x v="8"/>
    <x v="210"/>
    <x v="2"/>
    <x v="2"/>
    <x v="9"/>
    <x v="3"/>
    <x v="5"/>
    <x v="7"/>
    <x v="19"/>
    <x v="10"/>
    <x v="0"/>
    <x v="58"/>
    <x v="100"/>
    <x v="1"/>
    <x v="2"/>
    <x v="3"/>
    <x v="13"/>
  </r>
  <r>
    <x v="106"/>
    <x v="5"/>
    <x v="2"/>
    <x v="93"/>
    <x v="5"/>
    <x v="9"/>
    <x v="0"/>
    <x v="0"/>
    <x v="82"/>
    <x v="90"/>
    <x v="57"/>
    <x v="0"/>
    <x v="42"/>
    <x v="26"/>
    <x v="4"/>
    <x v="1"/>
    <x v="2"/>
    <x v="4"/>
    <x v="3"/>
    <x v="0"/>
    <x v="13"/>
    <x v="0"/>
    <x v="187"/>
    <x v="216"/>
    <x v="0"/>
    <x v="0"/>
    <x v="2"/>
    <x v="0"/>
  </r>
  <r>
    <x v="274"/>
    <x v="13"/>
    <x v="11"/>
    <x v="140"/>
    <x v="1"/>
    <x v="23"/>
    <x v="0"/>
    <x v="1"/>
    <x v="14"/>
    <x v="20"/>
    <x v="17"/>
    <x v="2"/>
    <x v="117"/>
    <x v="25"/>
    <x v="16"/>
    <x v="8"/>
    <x v="0"/>
    <x v="2"/>
    <x v="7"/>
    <x v="16"/>
    <x v="5"/>
    <x v="1"/>
    <x v="186"/>
    <x v="191"/>
    <x v="0"/>
    <x v="0"/>
    <x v="0"/>
    <x v="5"/>
  </r>
  <r>
    <x v="139"/>
    <x v="6"/>
    <x v="8"/>
    <x v="24"/>
    <x v="4"/>
    <x v="11"/>
    <x v="1"/>
    <x v="3"/>
    <x v="140"/>
    <x v="130"/>
    <x v="123"/>
    <x v="3"/>
    <x v="0"/>
    <x v="4"/>
    <x v="3"/>
    <x v="6"/>
    <x v="1"/>
    <x v="10"/>
    <x v="3"/>
    <x v="10"/>
    <x v="2"/>
    <x v="4"/>
    <x v="43"/>
    <x v="0"/>
    <x v="0"/>
    <x v="2"/>
    <x v="1"/>
    <x v="13"/>
  </r>
  <r>
    <x v="74"/>
    <x v="3"/>
    <x v="13"/>
    <x v="137"/>
    <x v="3"/>
    <x v="21"/>
    <x v="0"/>
    <x v="3"/>
    <x v="153"/>
    <x v="149"/>
    <x v="123"/>
    <x v="5"/>
    <x v="0"/>
    <x v="9"/>
    <x v="3"/>
    <x v="2"/>
    <x v="1"/>
    <x v="12"/>
    <x v="1"/>
    <x v="3"/>
    <x v="6"/>
    <x v="1"/>
    <x v="22"/>
    <x v="0"/>
    <x v="0"/>
    <x v="1"/>
    <x v="1"/>
    <x v="13"/>
  </r>
  <r>
    <x v="121"/>
    <x v="5"/>
    <x v="2"/>
    <x v="92"/>
    <x v="1"/>
    <x v="19"/>
    <x v="1"/>
    <x v="3"/>
    <x v="64"/>
    <x v="50"/>
    <x v="123"/>
    <x v="8"/>
    <x v="0"/>
    <x v="1"/>
    <x v="3"/>
    <x v="1"/>
    <x v="2"/>
    <x v="4"/>
    <x v="3"/>
    <x v="7"/>
    <x v="7"/>
    <x v="2"/>
    <x v="1"/>
    <x v="0"/>
    <x v="0"/>
    <x v="2"/>
    <x v="2"/>
    <x v="13"/>
  </r>
  <r>
    <x v="278"/>
    <x v="13"/>
    <x v="11"/>
    <x v="158"/>
    <x v="3"/>
    <x v="20"/>
    <x v="1"/>
    <x v="2"/>
    <x v="85"/>
    <x v="70"/>
    <x v="123"/>
    <x v="6"/>
    <x v="146"/>
    <x v="0"/>
    <x v="3"/>
    <x v="8"/>
    <x v="0"/>
    <x v="2"/>
    <x v="7"/>
    <x v="22"/>
    <x v="15"/>
    <x v="1"/>
    <x v="51"/>
    <x v="60"/>
    <x v="0"/>
    <x v="2"/>
    <x v="0"/>
    <x v="13"/>
  </r>
  <r>
    <x v="21"/>
    <x v="1"/>
    <x v="5"/>
    <x v="113"/>
    <x v="2"/>
    <x v="16"/>
    <x v="1"/>
    <x v="3"/>
    <x v="176"/>
    <x v="181"/>
    <x v="123"/>
    <x v="8"/>
    <x v="0"/>
    <x v="19"/>
    <x v="3"/>
    <x v="3"/>
    <x v="5"/>
    <x v="13"/>
    <x v="4"/>
    <x v="13"/>
    <x v="1"/>
    <x v="3"/>
    <x v="1"/>
    <x v="0"/>
    <x v="0"/>
    <x v="0"/>
    <x v="5"/>
    <x v="13"/>
  </r>
  <r>
    <x v="246"/>
    <x v="12"/>
    <x v="0"/>
    <x v="192"/>
    <x v="4"/>
    <x v="22"/>
    <x v="0"/>
    <x v="2"/>
    <x v="103"/>
    <x v="107"/>
    <x v="123"/>
    <x v="6"/>
    <x v="115"/>
    <x v="16"/>
    <x v="3"/>
    <x v="6"/>
    <x v="3"/>
    <x v="8"/>
    <x v="5"/>
    <x v="19"/>
    <x v="10"/>
    <x v="0"/>
    <x v="36"/>
    <x v="44"/>
    <x v="0"/>
    <x v="1"/>
    <x v="3"/>
    <x v="13"/>
  </r>
  <r>
    <x v="40"/>
    <x v="2"/>
    <x v="7"/>
    <x v="46"/>
    <x v="0"/>
    <x v="0"/>
    <x v="1"/>
    <x v="2"/>
    <x v="32"/>
    <x v="35"/>
    <x v="123"/>
    <x v="3"/>
    <x v="88"/>
    <x v="21"/>
    <x v="3"/>
    <x v="0"/>
    <x v="0"/>
    <x v="6"/>
    <x v="2"/>
    <x v="25"/>
    <x v="11"/>
    <x v="4"/>
    <x v="114"/>
    <x v="98"/>
    <x v="0"/>
    <x v="0"/>
    <x v="0"/>
    <x v="13"/>
  </r>
  <r>
    <x v="254"/>
    <x v="12"/>
    <x v="0"/>
    <x v="181"/>
    <x v="1"/>
    <x v="7"/>
    <x v="1"/>
    <x v="0"/>
    <x v="59"/>
    <x v="63"/>
    <x v="36"/>
    <x v="5"/>
    <x v="176"/>
    <x v="25"/>
    <x v="5"/>
    <x v="6"/>
    <x v="3"/>
    <x v="8"/>
    <x v="5"/>
    <x v="5"/>
    <x v="9"/>
    <x v="1"/>
    <x v="185"/>
    <x v="174"/>
    <x v="0"/>
    <x v="0"/>
    <x v="3"/>
    <x v="6"/>
  </r>
  <r>
    <x v="222"/>
    <x v="10"/>
    <x v="6"/>
    <x v="131"/>
    <x v="5"/>
    <x v="14"/>
    <x v="0"/>
    <x v="2"/>
    <x v="95"/>
    <x v="100"/>
    <x v="123"/>
    <x v="5"/>
    <x v="126"/>
    <x v="21"/>
    <x v="3"/>
    <x v="4"/>
    <x v="0"/>
    <x v="4"/>
    <x v="5"/>
    <x v="23"/>
    <x v="15"/>
    <x v="2"/>
    <x v="69"/>
    <x v="66"/>
    <x v="0"/>
    <x v="0"/>
    <x v="0"/>
    <x v="13"/>
  </r>
  <r>
    <x v="127"/>
    <x v="6"/>
    <x v="8"/>
    <x v="61"/>
    <x v="3"/>
    <x v="4"/>
    <x v="0"/>
    <x v="3"/>
    <x v="169"/>
    <x v="170"/>
    <x v="123"/>
    <x v="3"/>
    <x v="0"/>
    <x v="16"/>
    <x v="3"/>
    <x v="6"/>
    <x v="1"/>
    <x v="10"/>
    <x v="3"/>
    <x v="18"/>
    <x v="14"/>
    <x v="6"/>
    <x v="43"/>
    <x v="0"/>
    <x v="0"/>
    <x v="1"/>
    <x v="1"/>
    <x v="13"/>
  </r>
  <r>
    <x v="263"/>
    <x v="12"/>
    <x v="0"/>
    <x v="195"/>
    <x v="0"/>
    <x v="13"/>
    <x v="0"/>
    <x v="3"/>
    <x v="150"/>
    <x v="137"/>
    <x v="123"/>
    <x v="4"/>
    <x v="0"/>
    <x v="2"/>
    <x v="3"/>
    <x v="6"/>
    <x v="3"/>
    <x v="8"/>
    <x v="5"/>
    <x v="21"/>
    <x v="15"/>
    <x v="1"/>
    <x v="32"/>
    <x v="0"/>
    <x v="0"/>
    <x v="2"/>
    <x v="3"/>
    <x v="13"/>
  </r>
  <r>
    <x v="109"/>
    <x v="5"/>
    <x v="2"/>
    <x v="157"/>
    <x v="0"/>
    <x v="26"/>
    <x v="0"/>
    <x v="3"/>
    <x v="34"/>
    <x v="27"/>
    <x v="123"/>
    <x v="4"/>
    <x v="0"/>
    <x v="1"/>
    <x v="3"/>
    <x v="1"/>
    <x v="2"/>
    <x v="4"/>
    <x v="3"/>
    <x v="12"/>
    <x v="4"/>
    <x v="3"/>
    <x v="32"/>
    <x v="0"/>
    <x v="0"/>
    <x v="2"/>
    <x v="2"/>
    <x v="13"/>
  </r>
  <r>
    <x v="230"/>
    <x v="11"/>
    <x v="1"/>
    <x v="152"/>
    <x v="6"/>
    <x v="9"/>
    <x v="0"/>
    <x v="2"/>
    <x v="35"/>
    <x v="39"/>
    <x v="123"/>
    <x v="2"/>
    <x v="16"/>
    <x v="23"/>
    <x v="3"/>
    <x v="10"/>
    <x v="0"/>
    <x v="3"/>
    <x v="6"/>
    <x v="0"/>
    <x v="13"/>
    <x v="0"/>
    <x v="77"/>
    <x v="19"/>
    <x v="0"/>
    <x v="0"/>
    <x v="0"/>
    <x v="13"/>
  </r>
  <r>
    <x v="250"/>
    <x v="12"/>
    <x v="0"/>
    <x v="99"/>
    <x v="6"/>
    <x v="14"/>
    <x v="0"/>
    <x v="2"/>
    <x v="131"/>
    <x v="121"/>
    <x v="123"/>
    <x v="9"/>
    <x v="224"/>
    <x v="3"/>
    <x v="3"/>
    <x v="6"/>
    <x v="3"/>
    <x v="8"/>
    <x v="5"/>
    <x v="23"/>
    <x v="15"/>
    <x v="2"/>
    <x v="33"/>
    <x v="89"/>
    <x v="0"/>
    <x v="2"/>
    <x v="3"/>
    <x v="13"/>
  </r>
  <r>
    <x v="28"/>
    <x v="1"/>
    <x v="5"/>
    <x v="146"/>
    <x v="5"/>
    <x v="20"/>
    <x v="2"/>
    <x v="0"/>
    <x v="169"/>
    <x v="165"/>
    <x v="106"/>
    <x v="9"/>
    <x v="255"/>
    <x v="5"/>
    <x v="4"/>
    <x v="3"/>
    <x v="5"/>
    <x v="13"/>
    <x v="4"/>
    <x v="22"/>
    <x v="15"/>
    <x v="1"/>
    <x v="260"/>
    <x v="242"/>
    <x v="0"/>
    <x v="1"/>
    <x v="5"/>
    <x v="0"/>
  </r>
  <r>
    <x v="30"/>
    <x v="1"/>
    <x v="5"/>
    <x v="187"/>
    <x v="2"/>
    <x v="16"/>
    <x v="2"/>
    <x v="0"/>
    <x v="138"/>
    <x v="136"/>
    <x v="88"/>
    <x v="7"/>
    <x v="223"/>
    <x v="13"/>
    <x v="2"/>
    <x v="3"/>
    <x v="5"/>
    <x v="13"/>
    <x v="4"/>
    <x v="13"/>
    <x v="1"/>
    <x v="3"/>
    <x v="227"/>
    <x v="199"/>
    <x v="1"/>
    <x v="1"/>
    <x v="5"/>
    <x v="13"/>
  </r>
  <r>
    <x v="72"/>
    <x v="3"/>
    <x v="13"/>
    <x v="142"/>
    <x v="3"/>
    <x v="24"/>
    <x v="2"/>
    <x v="0"/>
    <x v="161"/>
    <x v="163"/>
    <x v="105"/>
    <x v="9"/>
    <x v="226"/>
    <x v="24"/>
    <x v="4"/>
    <x v="2"/>
    <x v="1"/>
    <x v="12"/>
    <x v="1"/>
    <x v="1"/>
    <x v="13"/>
    <x v="3"/>
    <x v="44"/>
    <x v="99"/>
    <x v="0"/>
    <x v="0"/>
    <x v="1"/>
    <x v="0"/>
  </r>
  <r>
    <x v="154"/>
    <x v="7"/>
    <x v="9"/>
    <x v="68"/>
    <x v="1"/>
    <x v="5"/>
    <x v="2"/>
    <x v="2"/>
    <x v="40"/>
    <x v="39"/>
    <x v="123"/>
    <x v="3"/>
    <x v="51"/>
    <x v="18"/>
    <x v="3"/>
    <x v="9"/>
    <x v="3"/>
    <x v="5"/>
    <x v="7"/>
    <x v="17"/>
    <x v="14"/>
    <x v="0"/>
    <x v="90"/>
    <x v="57"/>
    <x v="0"/>
    <x v="0"/>
    <x v="3"/>
    <x v="13"/>
  </r>
  <r>
    <x v="228"/>
    <x v="11"/>
    <x v="1"/>
    <x v="103"/>
    <x v="2"/>
    <x v="6"/>
    <x v="0"/>
    <x v="2"/>
    <x v="95"/>
    <x v="88"/>
    <x v="123"/>
    <x v="0"/>
    <x v="12"/>
    <x v="6"/>
    <x v="3"/>
    <x v="10"/>
    <x v="0"/>
    <x v="3"/>
    <x v="6"/>
    <x v="20"/>
    <x v="15"/>
    <x v="4"/>
    <x v="132"/>
    <x v="64"/>
    <x v="0"/>
    <x v="1"/>
    <x v="0"/>
    <x v="13"/>
  </r>
  <r>
    <x v="231"/>
    <x v="11"/>
    <x v="1"/>
    <x v="112"/>
    <x v="2"/>
    <x v="21"/>
    <x v="1"/>
    <x v="1"/>
    <x v="8"/>
    <x v="9"/>
    <x v="5"/>
    <x v="0"/>
    <x v="18"/>
    <x v="21"/>
    <x v="3"/>
    <x v="10"/>
    <x v="0"/>
    <x v="3"/>
    <x v="6"/>
    <x v="3"/>
    <x v="6"/>
    <x v="1"/>
    <x v="144"/>
    <x v="93"/>
    <x v="0"/>
    <x v="0"/>
    <x v="0"/>
    <x v="13"/>
  </r>
  <r>
    <x v="140"/>
    <x v="7"/>
    <x v="9"/>
    <x v="82"/>
    <x v="0"/>
    <x v="5"/>
    <x v="2"/>
    <x v="1"/>
    <x v="86"/>
    <x v="76"/>
    <x v="46"/>
    <x v="8"/>
    <x v="239"/>
    <x v="5"/>
    <x v="4"/>
    <x v="9"/>
    <x v="3"/>
    <x v="5"/>
    <x v="7"/>
    <x v="17"/>
    <x v="14"/>
    <x v="0"/>
    <x v="195"/>
    <x v="169"/>
    <x v="0"/>
    <x v="1"/>
    <x v="3"/>
    <x v="0"/>
  </r>
  <r>
    <x v="166"/>
    <x v="8"/>
    <x v="12"/>
    <x v="172"/>
    <x v="4"/>
    <x v="4"/>
    <x v="1"/>
    <x v="3"/>
    <x v="12"/>
    <x v="17"/>
    <x v="123"/>
    <x v="7"/>
    <x v="0"/>
    <x v="24"/>
    <x v="3"/>
    <x v="11"/>
    <x v="1"/>
    <x v="0"/>
    <x v="2"/>
    <x v="18"/>
    <x v="14"/>
    <x v="6"/>
    <x v="6"/>
    <x v="0"/>
    <x v="0"/>
    <x v="0"/>
    <x v="1"/>
    <x v="13"/>
  </r>
  <r>
    <x v="57"/>
    <x v="2"/>
    <x v="7"/>
    <x v="177"/>
    <x v="5"/>
    <x v="14"/>
    <x v="1"/>
    <x v="0"/>
    <x v="27"/>
    <x v="23"/>
    <x v="14"/>
    <x v="0"/>
    <x v="33"/>
    <x v="9"/>
    <x v="3"/>
    <x v="0"/>
    <x v="0"/>
    <x v="6"/>
    <x v="2"/>
    <x v="23"/>
    <x v="15"/>
    <x v="2"/>
    <x v="172"/>
    <x v="184"/>
    <x v="1"/>
    <x v="1"/>
    <x v="0"/>
    <x v="13"/>
  </r>
  <r>
    <x v="126"/>
    <x v="6"/>
    <x v="8"/>
    <x v="96"/>
    <x v="4"/>
    <x v="18"/>
    <x v="2"/>
    <x v="2"/>
    <x v="169"/>
    <x v="169"/>
    <x v="123"/>
    <x v="8"/>
    <x v="202"/>
    <x v="15"/>
    <x v="3"/>
    <x v="6"/>
    <x v="1"/>
    <x v="10"/>
    <x v="3"/>
    <x v="26"/>
    <x v="11"/>
    <x v="2"/>
    <x v="41"/>
    <x v="77"/>
    <x v="0"/>
    <x v="1"/>
    <x v="1"/>
    <x v="13"/>
  </r>
  <r>
    <x v="229"/>
    <x v="11"/>
    <x v="1"/>
    <x v="48"/>
    <x v="1"/>
    <x v="11"/>
    <x v="3"/>
    <x v="2"/>
    <x v="80"/>
    <x v="86"/>
    <x v="123"/>
    <x v="8"/>
    <x v="181"/>
    <x v="23"/>
    <x v="3"/>
    <x v="10"/>
    <x v="0"/>
    <x v="3"/>
    <x v="6"/>
    <x v="10"/>
    <x v="2"/>
    <x v="4"/>
    <x v="28"/>
    <x v="58"/>
    <x v="0"/>
    <x v="0"/>
    <x v="0"/>
    <x v="13"/>
  </r>
  <r>
    <x v="181"/>
    <x v="8"/>
    <x v="12"/>
    <x v="123"/>
    <x v="1"/>
    <x v="17"/>
    <x v="0"/>
    <x v="2"/>
    <x v="30"/>
    <x v="21"/>
    <x v="123"/>
    <x v="4"/>
    <x v="19"/>
    <x v="2"/>
    <x v="3"/>
    <x v="11"/>
    <x v="1"/>
    <x v="0"/>
    <x v="2"/>
    <x v="6"/>
    <x v="9"/>
    <x v="1"/>
    <x v="49"/>
    <x v="9"/>
    <x v="0"/>
    <x v="2"/>
    <x v="1"/>
    <x v="13"/>
  </r>
  <r>
    <x v="110"/>
    <x v="5"/>
    <x v="2"/>
    <x v="179"/>
    <x v="6"/>
    <x v="1"/>
    <x v="0"/>
    <x v="1"/>
    <x v="112"/>
    <x v="113"/>
    <x v="79"/>
    <x v="7"/>
    <x v="228"/>
    <x v="16"/>
    <x v="13"/>
    <x v="1"/>
    <x v="2"/>
    <x v="4"/>
    <x v="3"/>
    <x v="15"/>
    <x v="8"/>
    <x v="6"/>
    <x v="245"/>
    <x v="222"/>
    <x v="0"/>
    <x v="1"/>
    <x v="2"/>
    <x v="2"/>
  </r>
  <r>
    <x v="71"/>
    <x v="3"/>
    <x v="13"/>
    <x v="51"/>
    <x v="0"/>
    <x v="26"/>
    <x v="2"/>
    <x v="2"/>
    <x v="104"/>
    <x v="100"/>
    <x v="123"/>
    <x v="2"/>
    <x v="32"/>
    <x v="5"/>
    <x v="3"/>
    <x v="2"/>
    <x v="1"/>
    <x v="12"/>
    <x v="1"/>
    <x v="12"/>
    <x v="4"/>
    <x v="3"/>
    <x v="97"/>
    <x v="55"/>
    <x v="0"/>
    <x v="1"/>
    <x v="1"/>
    <x v="13"/>
  </r>
  <r>
    <x v="69"/>
    <x v="3"/>
    <x v="13"/>
    <x v="44"/>
    <x v="5"/>
    <x v="4"/>
    <x v="1"/>
    <x v="2"/>
    <x v="156"/>
    <x v="155"/>
    <x v="123"/>
    <x v="4"/>
    <x v="36"/>
    <x v="19"/>
    <x v="3"/>
    <x v="2"/>
    <x v="1"/>
    <x v="12"/>
    <x v="1"/>
    <x v="18"/>
    <x v="14"/>
    <x v="6"/>
    <x v="60"/>
    <x v="36"/>
    <x v="0"/>
    <x v="0"/>
    <x v="1"/>
    <x v="13"/>
  </r>
  <r>
    <x v="134"/>
    <x v="6"/>
    <x v="8"/>
    <x v="125"/>
    <x v="1"/>
    <x v="12"/>
    <x v="0"/>
    <x v="2"/>
    <x v="159"/>
    <x v="159"/>
    <x v="123"/>
    <x v="7"/>
    <x v="49"/>
    <x v="17"/>
    <x v="3"/>
    <x v="6"/>
    <x v="1"/>
    <x v="10"/>
    <x v="3"/>
    <x v="11"/>
    <x v="0"/>
    <x v="5"/>
    <x v="17"/>
    <x v="6"/>
    <x v="0"/>
    <x v="1"/>
    <x v="1"/>
    <x v="13"/>
  </r>
  <r>
    <x v="68"/>
    <x v="3"/>
    <x v="13"/>
    <x v="93"/>
    <x v="0"/>
    <x v="12"/>
    <x v="0"/>
    <x v="1"/>
    <x v="121"/>
    <x v="112"/>
    <x v="77"/>
    <x v="1"/>
    <x v="83"/>
    <x v="2"/>
    <x v="12"/>
    <x v="2"/>
    <x v="1"/>
    <x v="12"/>
    <x v="1"/>
    <x v="11"/>
    <x v="0"/>
    <x v="5"/>
    <x v="193"/>
    <x v="207"/>
    <x v="0"/>
    <x v="2"/>
    <x v="1"/>
    <x v="1"/>
  </r>
  <r>
    <x v="266"/>
    <x v="13"/>
    <x v="11"/>
    <x v="176"/>
    <x v="3"/>
    <x v="6"/>
    <x v="0"/>
    <x v="2"/>
    <x v="13"/>
    <x v="13"/>
    <x v="123"/>
    <x v="3"/>
    <x v="24"/>
    <x v="17"/>
    <x v="3"/>
    <x v="8"/>
    <x v="0"/>
    <x v="2"/>
    <x v="7"/>
    <x v="20"/>
    <x v="15"/>
    <x v="4"/>
    <x v="67"/>
    <x v="23"/>
    <x v="0"/>
    <x v="1"/>
    <x v="0"/>
    <x v="13"/>
  </r>
  <r>
    <x v="272"/>
    <x v="13"/>
    <x v="11"/>
    <x v="71"/>
    <x v="1"/>
    <x v="7"/>
    <x v="2"/>
    <x v="0"/>
    <x v="75"/>
    <x v="80"/>
    <x v="48"/>
    <x v="7"/>
    <x v="193"/>
    <x v="21"/>
    <x v="3"/>
    <x v="8"/>
    <x v="0"/>
    <x v="2"/>
    <x v="7"/>
    <x v="5"/>
    <x v="9"/>
    <x v="1"/>
    <x v="98"/>
    <x v="120"/>
    <x v="1"/>
    <x v="0"/>
    <x v="0"/>
    <x v="13"/>
  </r>
  <r>
    <x v="86"/>
    <x v="4"/>
    <x v="3"/>
    <x v="135"/>
    <x v="3"/>
    <x v="19"/>
    <x v="2"/>
    <x v="2"/>
    <x v="35"/>
    <x v="40"/>
    <x v="123"/>
    <x v="7"/>
    <x v="99"/>
    <x v="24"/>
    <x v="3"/>
    <x v="5"/>
    <x v="0"/>
    <x v="1"/>
    <x v="0"/>
    <x v="7"/>
    <x v="7"/>
    <x v="2"/>
    <x v="24"/>
    <x v="22"/>
    <x v="0"/>
    <x v="0"/>
    <x v="0"/>
    <x v="13"/>
  </r>
  <r>
    <x v="168"/>
    <x v="8"/>
    <x v="12"/>
    <x v="142"/>
    <x v="6"/>
    <x v="22"/>
    <x v="0"/>
    <x v="2"/>
    <x v="91"/>
    <x v="95"/>
    <x v="123"/>
    <x v="5"/>
    <x v="142"/>
    <x v="22"/>
    <x v="3"/>
    <x v="11"/>
    <x v="1"/>
    <x v="0"/>
    <x v="2"/>
    <x v="19"/>
    <x v="10"/>
    <x v="0"/>
    <x v="88"/>
    <x v="87"/>
    <x v="0"/>
    <x v="0"/>
    <x v="1"/>
    <x v="13"/>
  </r>
  <r>
    <x v="276"/>
    <x v="13"/>
    <x v="11"/>
    <x v="158"/>
    <x v="2"/>
    <x v="2"/>
    <x v="0"/>
    <x v="0"/>
    <x v="12"/>
    <x v="13"/>
    <x v="9"/>
    <x v="0"/>
    <x v="44"/>
    <x v="19"/>
    <x v="4"/>
    <x v="8"/>
    <x v="0"/>
    <x v="2"/>
    <x v="7"/>
    <x v="24"/>
    <x v="11"/>
    <x v="4"/>
    <x v="192"/>
    <x v="225"/>
    <x v="0"/>
    <x v="0"/>
    <x v="0"/>
    <x v="0"/>
  </r>
  <r>
    <x v="2"/>
    <x v="0"/>
    <x v="14"/>
    <x v="64"/>
    <x v="5"/>
    <x v="17"/>
    <x v="2"/>
    <x v="2"/>
    <x v="174"/>
    <x v="171"/>
    <x v="123"/>
    <x v="4"/>
    <x v="81"/>
    <x v="7"/>
    <x v="3"/>
    <x v="7"/>
    <x v="2"/>
    <x v="11"/>
    <x v="1"/>
    <x v="6"/>
    <x v="9"/>
    <x v="1"/>
    <x v="86"/>
    <x v="62"/>
    <x v="0"/>
    <x v="1"/>
    <x v="2"/>
    <x v="13"/>
  </r>
  <r>
    <x v="149"/>
    <x v="7"/>
    <x v="9"/>
    <x v="3"/>
    <x v="4"/>
    <x v="25"/>
    <x v="1"/>
    <x v="0"/>
    <x v="78"/>
    <x v="73"/>
    <x v="41"/>
    <x v="1"/>
    <x v="30"/>
    <x v="11"/>
    <x v="0"/>
    <x v="9"/>
    <x v="3"/>
    <x v="5"/>
    <x v="7"/>
    <x v="9"/>
    <x v="7"/>
    <x v="3"/>
    <x v="129"/>
    <x v="82"/>
    <x v="1"/>
    <x v="1"/>
    <x v="3"/>
    <x v="13"/>
  </r>
  <r>
    <x v="157"/>
    <x v="7"/>
    <x v="9"/>
    <x v="97"/>
    <x v="1"/>
    <x v="23"/>
    <x v="2"/>
    <x v="1"/>
    <x v="22"/>
    <x v="11"/>
    <x v="10"/>
    <x v="3"/>
    <x v="136"/>
    <x v="3"/>
    <x v="8"/>
    <x v="9"/>
    <x v="3"/>
    <x v="5"/>
    <x v="7"/>
    <x v="16"/>
    <x v="5"/>
    <x v="1"/>
    <x v="175"/>
    <x v="170"/>
    <x v="0"/>
    <x v="2"/>
    <x v="3"/>
    <x v="9"/>
  </r>
  <r>
    <x v="235"/>
    <x v="11"/>
    <x v="1"/>
    <x v="159"/>
    <x v="3"/>
    <x v="13"/>
    <x v="0"/>
    <x v="2"/>
    <x v="7"/>
    <x v="10"/>
    <x v="123"/>
    <x v="4"/>
    <x v="38"/>
    <x v="27"/>
    <x v="3"/>
    <x v="10"/>
    <x v="0"/>
    <x v="3"/>
    <x v="6"/>
    <x v="21"/>
    <x v="15"/>
    <x v="1"/>
    <x v="61"/>
    <x v="38"/>
    <x v="0"/>
    <x v="0"/>
    <x v="0"/>
    <x v="13"/>
  </r>
  <r>
    <x v="37"/>
    <x v="1"/>
    <x v="5"/>
    <x v="64"/>
    <x v="2"/>
    <x v="24"/>
    <x v="0"/>
    <x v="1"/>
    <x v="173"/>
    <x v="174"/>
    <x v="112"/>
    <x v="9"/>
    <x v="250"/>
    <x v="15"/>
    <x v="2"/>
    <x v="3"/>
    <x v="5"/>
    <x v="13"/>
    <x v="4"/>
    <x v="1"/>
    <x v="13"/>
    <x v="3"/>
    <x v="232"/>
    <x v="192"/>
    <x v="0"/>
    <x v="1"/>
    <x v="5"/>
    <x v="13"/>
  </r>
  <r>
    <x v="1"/>
    <x v="0"/>
    <x v="14"/>
    <x v="106"/>
    <x v="5"/>
    <x v="11"/>
    <x v="2"/>
    <x v="2"/>
    <x v="166"/>
    <x v="164"/>
    <x v="123"/>
    <x v="3"/>
    <x v="22"/>
    <x v="3"/>
    <x v="3"/>
    <x v="7"/>
    <x v="2"/>
    <x v="11"/>
    <x v="1"/>
    <x v="10"/>
    <x v="2"/>
    <x v="4"/>
    <x v="65"/>
    <x v="21"/>
    <x v="0"/>
    <x v="2"/>
    <x v="2"/>
    <x v="13"/>
  </r>
  <r>
    <x v="257"/>
    <x v="12"/>
    <x v="0"/>
    <x v="145"/>
    <x v="1"/>
    <x v="10"/>
    <x v="2"/>
    <x v="0"/>
    <x v="52"/>
    <x v="44"/>
    <x v="25"/>
    <x v="3"/>
    <x v="119"/>
    <x v="9"/>
    <x v="5"/>
    <x v="6"/>
    <x v="3"/>
    <x v="8"/>
    <x v="5"/>
    <x v="2"/>
    <x v="12"/>
    <x v="5"/>
    <x v="149"/>
    <x v="142"/>
    <x v="0"/>
    <x v="1"/>
    <x v="3"/>
    <x v="6"/>
  </r>
  <r>
    <x v="33"/>
    <x v="1"/>
    <x v="5"/>
    <x v="39"/>
    <x v="5"/>
    <x v="26"/>
    <x v="1"/>
    <x v="0"/>
    <x v="182"/>
    <x v="185"/>
    <x v="119"/>
    <x v="1"/>
    <x v="48"/>
    <x v="14"/>
    <x v="0"/>
    <x v="3"/>
    <x v="5"/>
    <x v="13"/>
    <x v="4"/>
    <x v="12"/>
    <x v="4"/>
    <x v="3"/>
    <x v="153"/>
    <x v="137"/>
    <x v="1"/>
    <x v="1"/>
    <x v="5"/>
    <x v="13"/>
  </r>
  <r>
    <x v="240"/>
    <x v="11"/>
    <x v="1"/>
    <x v="99"/>
    <x v="2"/>
    <x v="8"/>
    <x v="2"/>
    <x v="0"/>
    <x v="11"/>
    <x v="16"/>
    <x v="10"/>
    <x v="5"/>
    <x v="256"/>
    <x v="24"/>
    <x v="3"/>
    <x v="10"/>
    <x v="0"/>
    <x v="3"/>
    <x v="6"/>
    <x v="8"/>
    <x v="9"/>
    <x v="2"/>
    <x v="22"/>
    <x v="0"/>
    <x v="1"/>
    <x v="0"/>
    <x v="0"/>
    <x v="13"/>
  </r>
  <r>
    <x v="220"/>
    <x v="10"/>
    <x v="6"/>
    <x v="71"/>
    <x v="4"/>
    <x v="3"/>
    <x v="1"/>
    <x v="0"/>
    <x v="115"/>
    <x v="105"/>
    <x v="67"/>
    <x v="0"/>
    <x v="29"/>
    <x v="0"/>
    <x v="5"/>
    <x v="4"/>
    <x v="0"/>
    <x v="4"/>
    <x v="5"/>
    <x v="4"/>
    <x v="13"/>
    <x v="3"/>
    <x v="167"/>
    <x v="168"/>
    <x v="0"/>
    <x v="2"/>
    <x v="0"/>
    <x v="6"/>
  </r>
  <r>
    <x v="258"/>
    <x v="12"/>
    <x v="0"/>
    <x v="107"/>
    <x v="4"/>
    <x v="3"/>
    <x v="0"/>
    <x v="1"/>
    <x v="147"/>
    <x v="151"/>
    <x v="101"/>
    <x v="1"/>
    <x v="84"/>
    <x v="26"/>
    <x v="12"/>
    <x v="6"/>
    <x v="3"/>
    <x v="8"/>
    <x v="5"/>
    <x v="4"/>
    <x v="13"/>
    <x v="3"/>
    <x v="194"/>
    <x v="208"/>
    <x v="0"/>
    <x v="0"/>
    <x v="3"/>
    <x v="1"/>
  </r>
  <r>
    <x v="99"/>
    <x v="4"/>
    <x v="3"/>
    <x v="50"/>
    <x v="2"/>
    <x v="24"/>
    <x v="3"/>
    <x v="3"/>
    <x v="50"/>
    <x v="45"/>
    <x v="123"/>
    <x v="9"/>
    <x v="0"/>
    <x v="12"/>
    <x v="3"/>
    <x v="5"/>
    <x v="0"/>
    <x v="1"/>
    <x v="0"/>
    <x v="1"/>
    <x v="13"/>
    <x v="3"/>
    <x v="0"/>
    <x v="0"/>
    <x v="0"/>
    <x v="1"/>
    <x v="0"/>
    <x v="13"/>
  </r>
  <r>
    <x v="112"/>
    <x v="5"/>
    <x v="2"/>
    <x v="187"/>
    <x v="0"/>
    <x v="23"/>
    <x v="1"/>
    <x v="2"/>
    <x v="87"/>
    <x v="88"/>
    <x v="123"/>
    <x v="4"/>
    <x v="17"/>
    <x v="17"/>
    <x v="3"/>
    <x v="1"/>
    <x v="2"/>
    <x v="4"/>
    <x v="3"/>
    <x v="16"/>
    <x v="5"/>
    <x v="1"/>
    <x v="48"/>
    <x v="8"/>
    <x v="0"/>
    <x v="1"/>
    <x v="2"/>
    <x v="13"/>
  </r>
  <r>
    <x v="113"/>
    <x v="5"/>
    <x v="2"/>
    <x v="91"/>
    <x v="2"/>
    <x v="23"/>
    <x v="1"/>
    <x v="2"/>
    <x v="43"/>
    <x v="36"/>
    <x v="123"/>
    <x v="9"/>
    <x v="192"/>
    <x v="6"/>
    <x v="3"/>
    <x v="1"/>
    <x v="2"/>
    <x v="4"/>
    <x v="3"/>
    <x v="16"/>
    <x v="5"/>
    <x v="1"/>
    <x v="13"/>
    <x v="52"/>
    <x v="0"/>
    <x v="1"/>
    <x v="2"/>
    <x v="13"/>
  </r>
  <r>
    <x v="194"/>
    <x v="9"/>
    <x v="10"/>
    <x v="170"/>
    <x v="2"/>
    <x v="18"/>
    <x v="0"/>
    <x v="0"/>
    <x v="78"/>
    <x v="81"/>
    <x v="50"/>
    <x v="10"/>
    <x v="63"/>
    <x v="20"/>
    <x v="3"/>
    <x v="6"/>
    <x v="4"/>
    <x v="7"/>
    <x v="4"/>
    <x v="26"/>
    <x v="11"/>
    <x v="2"/>
    <x v="238"/>
    <x v="0"/>
    <x v="1"/>
    <x v="0"/>
    <x v="4"/>
    <x v="13"/>
  </r>
  <r>
    <x v="94"/>
    <x v="4"/>
    <x v="3"/>
    <x v="34"/>
    <x v="5"/>
    <x v="15"/>
    <x v="1"/>
    <x v="0"/>
    <x v="19"/>
    <x v="26"/>
    <x v="15"/>
    <x v="1"/>
    <x v="80"/>
    <x v="25"/>
    <x v="1"/>
    <x v="5"/>
    <x v="0"/>
    <x v="1"/>
    <x v="0"/>
    <x v="14"/>
    <x v="3"/>
    <x v="5"/>
    <x v="190"/>
    <x v="203"/>
    <x v="1"/>
    <x v="0"/>
    <x v="0"/>
    <x v="13"/>
  </r>
  <r>
    <x v="294"/>
    <x v="14"/>
    <x v="4"/>
    <x v="31"/>
    <x v="4"/>
    <x v="11"/>
    <x v="0"/>
    <x v="0"/>
    <x v="144"/>
    <x v="134"/>
    <x v="89"/>
    <x v="8"/>
    <x v="240"/>
    <x v="4"/>
    <x v="5"/>
    <x v="6"/>
    <x v="3"/>
    <x v="9"/>
    <x v="1"/>
    <x v="10"/>
    <x v="2"/>
    <x v="4"/>
    <x v="212"/>
    <x v="178"/>
    <x v="0"/>
    <x v="2"/>
    <x v="3"/>
    <x v="6"/>
  </r>
  <r>
    <x v="135"/>
    <x v="6"/>
    <x v="8"/>
    <x v="57"/>
    <x v="4"/>
    <x v="5"/>
    <x v="2"/>
    <x v="0"/>
    <x v="162"/>
    <x v="153"/>
    <x v="100"/>
    <x v="6"/>
    <x v="221"/>
    <x v="1"/>
    <x v="4"/>
    <x v="6"/>
    <x v="1"/>
    <x v="10"/>
    <x v="3"/>
    <x v="17"/>
    <x v="14"/>
    <x v="0"/>
    <x v="244"/>
    <x v="244"/>
    <x v="0"/>
    <x v="2"/>
    <x v="1"/>
    <x v="0"/>
  </r>
  <r>
    <x v="234"/>
    <x v="11"/>
    <x v="1"/>
    <x v="184"/>
    <x v="5"/>
    <x v="3"/>
    <x v="0"/>
    <x v="2"/>
    <x v="17"/>
    <x v="24"/>
    <x v="123"/>
    <x v="9"/>
    <x v="207"/>
    <x v="26"/>
    <x v="3"/>
    <x v="10"/>
    <x v="0"/>
    <x v="3"/>
    <x v="6"/>
    <x v="4"/>
    <x v="13"/>
    <x v="3"/>
    <x v="23"/>
    <x v="63"/>
    <x v="0"/>
    <x v="0"/>
    <x v="0"/>
    <x v="13"/>
  </r>
  <r>
    <x v="236"/>
    <x v="11"/>
    <x v="1"/>
    <x v="166"/>
    <x v="2"/>
    <x v="11"/>
    <x v="2"/>
    <x v="1"/>
    <x v="76"/>
    <x v="79"/>
    <x v="52"/>
    <x v="10"/>
    <x v="57"/>
    <x v="19"/>
    <x v="8"/>
    <x v="10"/>
    <x v="0"/>
    <x v="3"/>
    <x v="6"/>
    <x v="10"/>
    <x v="2"/>
    <x v="4"/>
    <x v="233"/>
    <x v="0"/>
    <x v="0"/>
    <x v="0"/>
    <x v="0"/>
    <x v="9"/>
  </r>
  <r>
    <x v="108"/>
    <x v="5"/>
    <x v="2"/>
    <x v="58"/>
    <x v="3"/>
    <x v="12"/>
    <x v="2"/>
    <x v="0"/>
    <x v="43"/>
    <x v="37"/>
    <x v="20"/>
    <x v="5"/>
    <x v="188"/>
    <x v="10"/>
    <x v="5"/>
    <x v="1"/>
    <x v="2"/>
    <x v="4"/>
    <x v="3"/>
    <x v="11"/>
    <x v="0"/>
    <x v="5"/>
    <x v="220"/>
    <x v="205"/>
    <x v="0"/>
    <x v="1"/>
    <x v="2"/>
    <x v="6"/>
  </r>
  <r>
    <x v="103"/>
    <x v="4"/>
    <x v="3"/>
    <x v="12"/>
    <x v="3"/>
    <x v="10"/>
    <x v="2"/>
    <x v="2"/>
    <x v="89"/>
    <x v="78"/>
    <x v="123"/>
    <x v="9"/>
    <x v="225"/>
    <x v="4"/>
    <x v="3"/>
    <x v="5"/>
    <x v="0"/>
    <x v="1"/>
    <x v="0"/>
    <x v="2"/>
    <x v="12"/>
    <x v="5"/>
    <x v="37"/>
    <x v="90"/>
    <x v="0"/>
    <x v="2"/>
    <x v="0"/>
    <x v="13"/>
  </r>
  <r>
    <x v="273"/>
    <x v="13"/>
    <x v="11"/>
    <x v="70"/>
    <x v="4"/>
    <x v="26"/>
    <x v="1"/>
    <x v="0"/>
    <x v="4"/>
    <x v="4"/>
    <x v="2"/>
    <x v="2"/>
    <x v="102"/>
    <x v="5"/>
    <x v="2"/>
    <x v="8"/>
    <x v="0"/>
    <x v="2"/>
    <x v="7"/>
    <x v="12"/>
    <x v="4"/>
    <x v="3"/>
    <x v="174"/>
    <x v="172"/>
    <x v="1"/>
    <x v="1"/>
    <x v="0"/>
    <x v="13"/>
  </r>
  <r>
    <x v="81"/>
    <x v="3"/>
    <x v="13"/>
    <x v="109"/>
    <x v="2"/>
    <x v="24"/>
    <x v="1"/>
    <x v="3"/>
    <x v="176"/>
    <x v="182"/>
    <x v="123"/>
    <x v="2"/>
    <x v="0"/>
    <x v="20"/>
    <x v="3"/>
    <x v="2"/>
    <x v="1"/>
    <x v="12"/>
    <x v="1"/>
    <x v="1"/>
    <x v="13"/>
    <x v="3"/>
    <x v="54"/>
    <x v="0"/>
    <x v="0"/>
    <x v="0"/>
    <x v="1"/>
    <x v="13"/>
  </r>
  <r>
    <x v="188"/>
    <x v="9"/>
    <x v="10"/>
    <x v="78"/>
    <x v="5"/>
    <x v="19"/>
    <x v="1"/>
    <x v="2"/>
    <x v="78"/>
    <x v="84"/>
    <x v="123"/>
    <x v="8"/>
    <x v="197"/>
    <x v="23"/>
    <x v="3"/>
    <x v="6"/>
    <x v="4"/>
    <x v="7"/>
    <x v="4"/>
    <x v="7"/>
    <x v="7"/>
    <x v="2"/>
    <x v="34"/>
    <x v="71"/>
    <x v="0"/>
    <x v="0"/>
    <x v="4"/>
    <x v="13"/>
  </r>
  <r>
    <x v="303"/>
    <x v="14"/>
    <x v="4"/>
    <x v="78"/>
    <x v="2"/>
    <x v="1"/>
    <x v="2"/>
    <x v="0"/>
    <x v="138"/>
    <x v="137"/>
    <x v="90"/>
    <x v="7"/>
    <x v="235"/>
    <x v="17"/>
    <x v="0"/>
    <x v="6"/>
    <x v="3"/>
    <x v="9"/>
    <x v="1"/>
    <x v="15"/>
    <x v="8"/>
    <x v="6"/>
    <x v="251"/>
    <x v="239"/>
    <x v="1"/>
    <x v="1"/>
    <x v="3"/>
    <x v="13"/>
  </r>
  <r>
    <x v="88"/>
    <x v="4"/>
    <x v="3"/>
    <x v="2"/>
    <x v="6"/>
    <x v="19"/>
    <x v="2"/>
    <x v="2"/>
    <x v="80"/>
    <x v="69"/>
    <x v="123"/>
    <x v="6"/>
    <x v="41"/>
    <x v="4"/>
    <x v="3"/>
    <x v="5"/>
    <x v="0"/>
    <x v="1"/>
    <x v="0"/>
    <x v="7"/>
    <x v="7"/>
    <x v="2"/>
    <x v="26"/>
    <x v="12"/>
    <x v="0"/>
    <x v="2"/>
    <x v="0"/>
    <x v="13"/>
  </r>
  <r>
    <x v="111"/>
    <x v="5"/>
    <x v="2"/>
    <x v="55"/>
    <x v="4"/>
    <x v="21"/>
    <x v="2"/>
    <x v="2"/>
    <x v="105"/>
    <x v="103"/>
    <x v="123"/>
    <x v="8"/>
    <x v="67"/>
    <x v="9"/>
    <x v="3"/>
    <x v="1"/>
    <x v="2"/>
    <x v="4"/>
    <x v="3"/>
    <x v="3"/>
    <x v="6"/>
    <x v="1"/>
    <x v="3"/>
    <x v="1"/>
    <x v="0"/>
    <x v="1"/>
    <x v="2"/>
    <x v="13"/>
  </r>
  <r>
    <x v="211"/>
    <x v="10"/>
    <x v="6"/>
    <x v="63"/>
    <x v="3"/>
    <x v="20"/>
    <x v="1"/>
    <x v="1"/>
    <x v="106"/>
    <x v="104"/>
    <x v="66"/>
    <x v="6"/>
    <x v="218"/>
    <x v="9"/>
    <x v="2"/>
    <x v="4"/>
    <x v="0"/>
    <x v="4"/>
    <x v="5"/>
    <x v="22"/>
    <x v="15"/>
    <x v="1"/>
    <x v="241"/>
    <x v="227"/>
    <x v="0"/>
    <x v="1"/>
    <x v="0"/>
    <x v="13"/>
  </r>
  <r>
    <x v="39"/>
    <x v="1"/>
    <x v="5"/>
    <x v="144"/>
    <x v="5"/>
    <x v="5"/>
    <x v="1"/>
    <x v="1"/>
    <x v="161"/>
    <x v="162"/>
    <x v="104"/>
    <x v="2"/>
    <x v="77"/>
    <x v="21"/>
    <x v="2"/>
    <x v="3"/>
    <x v="5"/>
    <x v="13"/>
    <x v="4"/>
    <x v="17"/>
    <x v="14"/>
    <x v="0"/>
    <x v="145"/>
    <x v="126"/>
    <x v="0"/>
    <x v="0"/>
    <x v="5"/>
    <x v="13"/>
  </r>
  <r>
    <x v="84"/>
    <x v="3"/>
    <x v="13"/>
    <x v="135"/>
    <x v="6"/>
    <x v="17"/>
    <x v="0"/>
    <x v="0"/>
    <x v="177"/>
    <x v="178"/>
    <x v="115"/>
    <x v="5"/>
    <x v="168"/>
    <x v="11"/>
    <x v="0"/>
    <x v="2"/>
    <x v="1"/>
    <x v="12"/>
    <x v="1"/>
    <x v="6"/>
    <x v="9"/>
    <x v="1"/>
    <x v="137"/>
    <x v="140"/>
    <x v="1"/>
    <x v="1"/>
    <x v="1"/>
    <x v="13"/>
  </r>
  <r>
    <x v="125"/>
    <x v="6"/>
    <x v="8"/>
    <x v="164"/>
    <x v="5"/>
    <x v="20"/>
    <x v="1"/>
    <x v="0"/>
    <x v="163"/>
    <x v="160"/>
    <x v="103"/>
    <x v="6"/>
    <x v="256"/>
    <x v="9"/>
    <x v="1"/>
    <x v="6"/>
    <x v="1"/>
    <x v="10"/>
    <x v="3"/>
    <x v="22"/>
    <x v="15"/>
    <x v="1"/>
    <x v="12"/>
    <x v="0"/>
    <x v="1"/>
    <x v="1"/>
    <x v="1"/>
    <x v="13"/>
  </r>
  <r>
    <x v="100"/>
    <x v="4"/>
    <x v="3"/>
    <x v="136"/>
    <x v="6"/>
    <x v="9"/>
    <x v="2"/>
    <x v="0"/>
    <x v="41"/>
    <x v="42"/>
    <x v="21"/>
    <x v="3"/>
    <x v="159"/>
    <x v="20"/>
    <x v="2"/>
    <x v="5"/>
    <x v="0"/>
    <x v="1"/>
    <x v="0"/>
    <x v="0"/>
    <x v="13"/>
    <x v="0"/>
    <x v="221"/>
    <x v="241"/>
    <x v="1"/>
    <x v="0"/>
    <x v="0"/>
    <x v="13"/>
  </r>
  <r>
    <x v="295"/>
    <x v="14"/>
    <x v="4"/>
    <x v="5"/>
    <x v="3"/>
    <x v="11"/>
    <x v="0"/>
    <x v="0"/>
    <x v="139"/>
    <x v="147"/>
    <x v="95"/>
    <x v="1"/>
    <x v="62"/>
    <x v="26"/>
    <x v="5"/>
    <x v="6"/>
    <x v="3"/>
    <x v="9"/>
    <x v="1"/>
    <x v="10"/>
    <x v="2"/>
    <x v="4"/>
    <x v="166"/>
    <x v="164"/>
    <x v="0"/>
    <x v="0"/>
    <x v="3"/>
    <x v="6"/>
  </r>
  <r>
    <x v="301"/>
    <x v="14"/>
    <x v="4"/>
    <x v="153"/>
    <x v="5"/>
    <x v="20"/>
    <x v="2"/>
    <x v="1"/>
    <x v="151"/>
    <x v="146"/>
    <x v="98"/>
    <x v="7"/>
    <x v="186"/>
    <x v="8"/>
    <x v="15"/>
    <x v="6"/>
    <x v="3"/>
    <x v="9"/>
    <x v="1"/>
    <x v="22"/>
    <x v="15"/>
    <x v="1"/>
    <x v="84"/>
    <x v="107"/>
    <x v="0"/>
    <x v="1"/>
    <x v="3"/>
    <x v="4"/>
  </r>
  <r>
    <x v="41"/>
    <x v="2"/>
    <x v="7"/>
    <x v="111"/>
    <x v="4"/>
    <x v="15"/>
    <x v="0"/>
    <x v="0"/>
    <x v="76"/>
    <x v="79"/>
    <x v="49"/>
    <x v="9"/>
    <x v="254"/>
    <x v="19"/>
    <x v="5"/>
    <x v="0"/>
    <x v="0"/>
    <x v="6"/>
    <x v="2"/>
    <x v="14"/>
    <x v="3"/>
    <x v="5"/>
    <x v="259"/>
    <x v="232"/>
    <x v="0"/>
    <x v="0"/>
    <x v="0"/>
    <x v="6"/>
  </r>
  <r>
    <x v="25"/>
    <x v="1"/>
    <x v="5"/>
    <x v="66"/>
    <x v="0"/>
    <x v="26"/>
    <x v="1"/>
    <x v="2"/>
    <x v="180"/>
    <x v="176"/>
    <x v="123"/>
    <x v="9"/>
    <x v="195"/>
    <x v="4"/>
    <x v="3"/>
    <x v="3"/>
    <x v="5"/>
    <x v="13"/>
    <x v="4"/>
    <x v="12"/>
    <x v="4"/>
    <x v="3"/>
    <x v="14"/>
    <x v="53"/>
    <x v="0"/>
    <x v="2"/>
    <x v="5"/>
    <x v="13"/>
  </r>
  <r>
    <x v="107"/>
    <x v="5"/>
    <x v="2"/>
    <x v="28"/>
    <x v="1"/>
    <x v="0"/>
    <x v="2"/>
    <x v="0"/>
    <x v="72"/>
    <x v="74"/>
    <x v="43"/>
    <x v="7"/>
    <x v="196"/>
    <x v="20"/>
    <x v="2"/>
    <x v="1"/>
    <x v="2"/>
    <x v="4"/>
    <x v="3"/>
    <x v="25"/>
    <x v="11"/>
    <x v="4"/>
    <x v="106"/>
    <x v="128"/>
    <x v="1"/>
    <x v="0"/>
    <x v="2"/>
    <x v="13"/>
  </r>
  <r>
    <x v="115"/>
    <x v="5"/>
    <x v="2"/>
    <x v="132"/>
    <x v="5"/>
    <x v="14"/>
    <x v="2"/>
    <x v="2"/>
    <x v="38"/>
    <x v="35"/>
    <x v="123"/>
    <x v="9"/>
    <x v="172"/>
    <x v="13"/>
    <x v="3"/>
    <x v="1"/>
    <x v="2"/>
    <x v="4"/>
    <x v="3"/>
    <x v="23"/>
    <x v="15"/>
    <x v="2"/>
    <x v="4"/>
    <x v="31"/>
    <x v="0"/>
    <x v="1"/>
    <x v="2"/>
    <x v="13"/>
  </r>
  <r>
    <x v="89"/>
    <x v="4"/>
    <x v="3"/>
    <x v="56"/>
    <x v="0"/>
    <x v="6"/>
    <x v="2"/>
    <x v="2"/>
    <x v="3"/>
    <x v="2"/>
    <x v="123"/>
    <x v="1"/>
    <x v="30"/>
    <x v="10"/>
    <x v="3"/>
    <x v="5"/>
    <x v="0"/>
    <x v="1"/>
    <x v="0"/>
    <x v="20"/>
    <x v="15"/>
    <x v="4"/>
    <x v="129"/>
    <x v="82"/>
    <x v="0"/>
    <x v="1"/>
    <x v="0"/>
    <x v="13"/>
  </r>
  <r>
    <x v="143"/>
    <x v="7"/>
    <x v="9"/>
    <x v="27"/>
    <x v="1"/>
    <x v="20"/>
    <x v="2"/>
    <x v="0"/>
    <x v="91"/>
    <x v="87"/>
    <x v="54"/>
    <x v="9"/>
    <x v="242"/>
    <x v="12"/>
    <x v="3"/>
    <x v="9"/>
    <x v="3"/>
    <x v="5"/>
    <x v="7"/>
    <x v="22"/>
    <x v="15"/>
    <x v="1"/>
    <x v="78"/>
    <x v="127"/>
    <x v="1"/>
    <x v="1"/>
    <x v="3"/>
    <x v="13"/>
  </r>
  <r>
    <x v="196"/>
    <x v="9"/>
    <x v="10"/>
    <x v="99"/>
    <x v="1"/>
    <x v="16"/>
    <x v="2"/>
    <x v="0"/>
    <x v="133"/>
    <x v="122"/>
    <x v="78"/>
    <x v="4"/>
    <x v="144"/>
    <x v="1"/>
    <x v="0"/>
    <x v="6"/>
    <x v="4"/>
    <x v="7"/>
    <x v="4"/>
    <x v="13"/>
    <x v="1"/>
    <x v="3"/>
    <x v="158"/>
    <x v="154"/>
    <x v="1"/>
    <x v="2"/>
    <x v="4"/>
    <x v="13"/>
  </r>
  <r>
    <x v="223"/>
    <x v="10"/>
    <x v="6"/>
    <x v="36"/>
    <x v="3"/>
    <x v="13"/>
    <x v="0"/>
    <x v="0"/>
    <x v="60"/>
    <x v="61"/>
    <x v="34"/>
    <x v="7"/>
    <x v="231"/>
    <x v="21"/>
    <x v="4"/>
    <x v="4"/>
    <x v="0"/>
    <x v="4"/>
    <x v="5"/>
    <x v="21"/>
    <x v="15"/>
    <x v="1"/>
    <x v="246"/>
    <x v="228"/>
    <x v="0"/>
    <x v="0"/>
    <x v="0"/>
    <x v="0"/>
  </r>
  <r>
    <x v="275"/>
    <x v="13"/>
    <x v="11"/>
    <x v="169"/>
    <x v="2"/>
    <x v="18"/>
    <x v="0"/>
    <x v="2"/>
    <x v="25"/>
    <x v="25"/>
    <x v="123"/>
    <x v="8"/>
    <x v="256"/>
    <x v="16"/>
    <x v="3"/>
    <x v="8"/>
    <x v="0"/>
    <x v="2"/>
    <x v="7"/>
    <x v="26"/>
    <x v="11"/>
    <x v="2"/>
    <x v="1"/>
    <x v="0"/>
    <x v="0"/>
    <x v="1"/>
    <x v="0"/>
    <x v="13"/>
  </r>
  <r>
    <x v="165"/>
    <x v="8"/>
    <x v="12"/>
    <x v="141"/>
    <x v="4"/>
    <x v="15"/>
    <x v="1"/>
    <x v="1"/>
    <x v="55"/>
    <x v="57"/>
    <x v="38"/>
    <x v="6"/>
    <x v="206"/>
    <x v="21"/>
    <x v="14"/>
    <x v="11"/>
    <x v="1"/>
    <x v="0"/>
    <x v="2"/>
    <x v="14"/>
    <x v="3"/>
    <x v="5"/>
    <x v="222"/>
    <x v="200"/>
    <x v="0"/>
    <x v="0"/>
    <x v="1"/>
    <x v="3"/>
  </r>
  <r>
    <x v="302"/>
    <x v="14"/>
    <x v="4"/>
    <x v="8"/>
    <x v="5"/>
    <x v="15"/>
    <x v="2"/>
    <x v="2"/>
    <x v="141"/>
    <x v="140"/>
    <x v="123"/>
    <x v="3"/>
    <x v="73"/>
    <x v="17"/>
    <x v="3"/>
    <x v="6"/>
    <x v="3"/>
    <x v="9"/>
    <x v="1"/>
    <x v="14"/>
    <x v="3"/>
    <x v="5"/>
    <x v="104"/>
    <x v="78"/>
    <x v="0"/>
    <x v="1"/>
    <x v="3"/>
    <x v="13"/>
  </r>
  <r>
    <x v="227"/>
    <x v="11"/>
    <x v="1"/>
    <x v="21"/>
    <x v="0"/>
    <x v="6"/>
    <x v="1"/>
    <x v="0"/>
    <x v="88"/>
    <x v="95"/>
    <x v="59"/>
    <x v="2"/>
    <x v="116"/>
    <x v="25"/>
    <x v="0"/>
    <x v="10"/>
    <x v="0"/>
    <x v="3"/>
    <x v="6"/>
    <x v="20"/>
    <x v="15"/>
    <x v="4"/>
    <x v="183"/>
    <x v="190"/>
    <x v="1"/>
    <x v="0"/>
    <x v="0"/>
    <x v="13"/>
  </r>
  <r>
    <x v="156"/>
    <x v="7"/>
    <x v="9"/>
    <x v="103"/>
    <x v="1"/>
    <x v="10"/>
    <x v="1"/>
    <x v="0"/>
    <x v="88"/>
    <x v="92"/>
    <x v="60"/>
    <x v="9"/>
    <x v="251"/>
    <x v="22"/>
    <x v="4"/>
    <x v="9"/>
    <x v="3"/>
    <x v="5"/>
    <x v="7"/>
    <x v="2"/>
    <x v="12"/>
    <x v="5"/>
    <x v="234"/>
    <x v="194"/>
    <x v="0"/>
    <x v="0"/>
    <x v="3"/>
    <x v="0"/>
  </r>
  <r>
    <x v="141"/>
    <x v="7"/>
    <x v="9"/>
    <x v="127"/>
    <x v="6"/>
    <x v="24"/>
    <x v="0"/>
    <x v="2"/>
    <x v="22"/>
    <x v="14"/>
    <x v="123"/>
    <x v="8"/>
    <x v="171"/>
    <x v="6"/>
    <x v="3"/>
    <x v="9"/>
    <x v="3"/>
    <x v="5"/>
    <x v="7"/>
    <x v="1"/>
    <x v="13"/>
    <x v="3"/>
    <x v="20"/>
    <x v="45"/>
    <x v="0"/>
    <x v="1"/>
    <x v="3"/>
    <x v="13"/>
  </r>
  <r>
    <x v="61"/>
    <x v="2"/>
    <x v="7"/>
    <x v="10"/>
    <x v="1"/>
    <x v="21"/>
    <x v="0"/>
    <x v="1"/>
    <x v="61"/>
    <x v="57"/>
    <x v="37"/>
    <x v="3"/>
    <x v="154"/>
    <x v="14"/>
    <x v="13"/>
    <x v="0"/>
    <x v="0"/>
    <x v="6"/>
    <x v="2"/>
    <x v="3"/>
    <x v="6"/>
    <x v="1"/>
    <x v="218"/>
    <x v="220"/>
    <x v="0"/>
    <x v="1"/>
    <x v="0"/>
    <x v="2"/>
  </r>
  <r>
    <x v="215"/>
    <x v="10"/>
    <x v="6"/>
    <x v="65"/>
    <x v="1"/>
    <x v="8"/>
    <x v="1"/>
    <x v="3"/>
    <x v="27"/>
    <x v="32"/>
    <x v="123"/>
    <x v="7"/>
    <x v="0"/>
    <x v="23"/>
    <x v="3"/>
    <x v="4"/>
    <x v="0"/>
    <x v="4"/>
    <x v="5"/>
    <x v="8"/>
    <x v="9"/>
    <x v="2"/>
    <x v="6"/>
    <x v="0"/>
    <x v="0"/>
    <x v="0"/>
    <x v="0"/>
    <x v="13"/>
  </r>
  <r>
    <x v="213"/>
    <x v="10"/>
    <x v="6"/>
    <x v="159"/>
    <x v="2"/>
    <x v="9"/>
    <x v="1"/>
    <x v="2"/>
    <x v="68"/>
    <x v="67"/>
    <x v="123"/>
    <x v="7"/>
    <x v="183"/>
    <x v="16"/>
    <x v="3"/>
    <x v="4"/>
    <x v="0"/>
    <x v="4"/>
    <x v="5"/>
    <x v="0"/>
    <x v="13"/>
    <x v="0"/>
    <x v="74"/>
    <x v="97"/>
    <x v="0"/>
    <x v="1"/>
    <x v="0"/>
    <x v="13"/>
  </r>
  <r>
    <x v="221"/>
    <x v="10"/>
    <x v="6"/>
    <x v="191"/>
    <x v="5"/>
    <x v="8"/>
    <x v="1"/>
    <x v="0"/>
    <x v="73"/>
    <x v="77"/>
    <x v="44"/>
    <x v="7"/>
    <x v="182"/>
    <x v="21"/>
    <x v="0"/>
    <x v="4"/>
    <x v="0"/>
    <x v="4"/>
    <x v="5"/>
    <x v="8"/>
    <x v="9"/>
    <x v="2"/>
    <x v="72"/>
    <x v="96"/>
    <x v="1"/>
    <x v="0"/>
    <x v="0"/>
    <x v="13"/>
  </r>
  <r>
    <x v="248"/>
    <x v="12"/>
    <x v="0"/>
    <x v="156"/>
    <x v="5"/>
    <x v="5"/>
    <x v="1"/>
    <x v="1"/>
    <x v="141"/>
    <x v="140"/>
    <x v="94"/>
    <x v="1"/>
    <x v="86"/>
    <x v="17"/>
    <x v="10"/>
    <x v="6"/>
    <x v="3"/>
    <x v="8"/>
    <x v="5"/>
    <x v="17"/>
    <x v="14"/>
    <x v="0"/>
    <x v="197"/>
    <x v="209"/>
    <x v="0"/>
    <x v="1"/>
    <x v="3"/>
    <x v="11"/>
  </r>
  <r>
    <x v="286"/>
    <x v="13"/>
    <x v="11"/>
    <x v="139"/>
    <x v="0"/>
    <x v="4"/>
    <x v="1"/>
    <x v="0"/>
    <x v="31"/>
    <x v="36"/>
    <x v="19"/>
    <x v="7"/>
    <x v="222"/>
    <x v="24"/>
    <x v="2"/>
    <x v="8"/>
    <x v="0"/>
    <x v="2"/>
    <x v="7"/>
    <x v="18"/>
    <x v="14"/>
    <x v="6"/>
    <x v="226"/>
    <x v="197"/>
    <x v="1"/>
    <x v="0"/>
    <x v="0"/>
    <x v="13"/>
  </r>
  <r>
    <x v="58"/>
    <x v="2"/>
    <x v="7"/>
    <x v="108"/>
    <x v="4"/>
    <x v="11"/>
    <x v="1"/>
    <x v="0"/>
    <x v="49"/>
    <x v="41"/>
    <x v="21"/>
    <x v="4"/>
    <x v="169"/>
    <x v="8"/>
    <x v="3"/>
    <x v="0"/>
    <x v="0"/>
    <x v="6"/>
    <x v="2"/>
    <x v="10"/>
    <x v="2"/>
    <x v="4"/>
    <x v="216"/>
    <x v="208"/>
    <x v="1"/>
    <x v="1"/>
    <x v="0"/>
    <x v="13"/>
  </r>
  <r>
    <x v="128"/>
    <x v="6"/>
    <x v="8"/>
    <x v="111"/>
    <x v="2"/>
    <x v="4"/>
    <x v="0"/>
    <x v="0"/>
    <x v="94"/>
    <x v="93"/>
    <x v="58"/>
    <x v="8"/>
    <x v="229"/>
    <x v="14"/>
    <x v="1"/>
    <x v="6"/>
    <x v="1"/>
    <x v="10"/>
    <x v="3"/>
    <x v="18"/>
    <x v="14"/>
    <x v="6"/>
    <x v="160"/>
    <x v="157"/>
    <x v="1"/>
    <x v="1"/>
    <x v="1"/>
    <x v="13"/>
  </r>
  <r>
    <x v="54"/>
    <x v="2"/>
    <x v="7"/>
    <x v="141"/>
    <x v="1"/>
    <x v="13"/>
    <x v="2"/>
    <x v="2"/>
    <x v="23"/>
    <x v="30"/>
    <x v="123"/>
    <x v="7"/>
    <x v="179"/>
    <x v="25"/>
    <x v="3"/>
    <x v="0"/>
    <x v="0"/>
    <x v="6"/>
    <x v="2"/>
    <x v="21"/>
    <x v="15"/>
    <x v="1"/>
    <x v="70"/>
    <x v="94"/>
    <x v="0"/>
    <x v="0"/>
    <x v="0"/>
    <x v="13"/>
  </r>
  <r>
    <x v="18"/>
    <x v="1"/>
    <x v="5"/>
    <x v="177"/>
    <x v="4"/>
    <x v="0"/>
    <x v="1"/>
    <x v="0"/>
    <x v="180"/>
    <x v="182"/>
    <x v="118"/>
    <x v="3"/>
    <x v="137"/>
    <x v="14"/>
    <x v="3"/>
    <x v="3"/>
    <x v="5"/>
    <x v="13"/>
    <x v="4"/>
    <x v="25"/>
    <x v="11"/>
    <x v="4"/>
    <x v="176"/>
    <x v="171"/>
    <x v="1"/>
    <x v="1"/>
    <x v="5"/>
    <x v="13"/>
  </r>
  <r>
    <x v="75"/>
    <x v="3"/>
    <x v="13"/>
    <x v="160"/>
    <x v="5"/>
    <x v="11"/>
    <x v="0"/>
    <x v="0"/>
    <x v="113"/>
    <x v="112"/>
    <x v="70"/>
    <x v="7"/>
    <x v="233"/>
    <x v="13"/>
    <x v="0"/>
    <x v="2"/>
    <x v="1"/>
    <x v="12"/>
    <x v="1"/>
    <x v="10"/>
    <x v="2"/>
    <x v="4"/>
    <x v="249"/>
    <x v="233"/>
    <x v="1"/>
    <x v="1"/>
    <x v="1"/>
    <x v="13"/>
  </r>
  <r>
    <x v="203"/>
    <x v="10"/>
    <x v="6"/>
    <x v="106"/>
    <x v="5"/>
    <x v="22"/>
    <x v="1"/>
    <x v="2"/>
    <x v="126"/>
    <x v="125"/>
    <x v="123"/>
    <x v="9"/>
    <x v="107"/>
    <x v="12"/>
    <x v="3"/>
    <x v="4"/>
    <x v="0"/>
    <x v="4"/>
    <x v="5"/>
    <x v="19"/>
    <x v="10"/>
    <x v="0"/>
    <x v="2"/>
    <x v="5"/>
    <x v="0"/>
    <x v="1"/>
    <x v="0"/>
    <x v="13"/>
  </r>
  <r>
    <x v="260"/>
    <x v="12"/>
    <x v="0"/>
    <x v="28"/>
    <x v="2"/>
    <x v="22"/>
    <x v="3"/>
    <x v="3"/>
    <x v="65"/>
    <x v="58"/>
    <x v="123"/>
    <x v="4"/>
    <x v="256"/>
    <x v="9"/>
    <x v="3"/>
    <x v="6"/>
    <x v="3"/>
    <x v="8"/>
    <x v="5"/>
    <x v="19"/>
    <x v="10"/>
    <x v="0"/>
    <x v="32"/>
    <x v="0"/>
    <x v="0"/>
    <x v="1"/>
    <x v="3"/>
    <x v="13"/>
  </r>
  <r>
    <x v="285"/>
    <x v="13"/>
    <x v="11"/>
    <x v="26"/>
    <x v="1"/>
    <x v="10"/>
    <x v="1"/>
    <x v="0"/>
    <x v="33"/>
    <x v="29"/>
    <x v="16"/>
    <x v="8"/>
    <x v="211"/>
    <x v="5"/>
    <x v="3"/>
    <x v="8"/>
    <x v="0"/>
    <x v="2"/>
    <x v="7"/>
    <x v="2"/>
    <x v="12"/>
    <x v="5"/>
    <x v="59"/>
    <x v="103"/>
    <x v="1"/>
    <x v="1"/>
    <x v="0"/>
    <x v="13"/>
  </r>
  <r>
    <x v="131"/>
    <x v="6"/>
    <x v="8"/>
    <x v="193"/>
    <x v="4"/>
    <x v="12"/>
    <x v="2"/>
    <x v="0"/>
    <x v="158"/>
    <x v="158"/>
    <x v="102"/>
    <x v="3"/>
    <x v="105"/>
    <x v="17"/>
    <x v="3"/>
    <x v="6"/>
    <x v="1"/>
    <x v="10"/>
    <x v="3"/>
    <x v="11"/>
    <x v="0"/>
    <x v="5"/>
    <x v="138"/>
    <x v="129"/>
    <x v="1"/>
    <x v="1"/>
    <x v="1"/>
    <x v="13"/>
  </r>
  <r>
    <x v="282"/>
    <x v="13"/>
    <x v="11"/>
    <x v="90"/>
    <x v="4"/>
    <x v="25"/>
    <x v="1"/>
    <x v="3"/>
    <x v="62"/>
    <x v="61"/>
    <x v="123"/>
    <x v="8"/>
    <x v="0"/>
    <x v="19"/>
    <x v="3"/>
    <x v="8"/>
    <x v="0"/>
    <x v="2"/>
    <x v="7"/>
    <x v="9"/>
    <x v="7"/>
    <x v="3"/>
    <x v="1"/>
    <x v="0"/>
    <x v="0"/>
    <x v="0"/>
    <x v="0"/>
    <x v="13"/>
  </r>
  <r>
    <x v="153"/>
    <x v="7"/>
    <x v="9"/>
    <x v="121"/>
    <x v="3"/>
    <x v="7"/>
    <x v="0"/>
    <x v="2"/>
    <x v="79"/>
    <x v="81"/>
    <x v="123"/>
    <x v="3"/>
    <x v="35"/>
    <x v="19"/>
    <x v="3"/>
    <x v="9"/>
    <x v="3"/>
    <x v="5"/>
    <x v="7"/>
    <x v="5"/>
    <x v="9"/>
    <x v="1"/>
    <x v="79"/>
    <x v="48"/>
    <x v="0"/>
    <x v="0"/>
    <x v="3"/>
    <x v="13"/>
  </r>
  <r>
    <x v="13"/>
    <x v="0"/>
    <x v="14"/>
    <x v="22"/>
    <x v="6"/>
    <x v="20"/>
    <x v="0"/>
    <x v="1"/>
    <x v="165"/>
    <x v="166"/>
    <x v="107"/>
    <x v="4"/>
    <x v="126"/>
    <x v="25"/>
    <x v="7"/>
    <x v="7"/>
    <x v="2"/>
    <x v="11"/>
    <x v="1"/>
    <x v="22"/>
    <x v="15"/>
    <x v="1"/>
    <x v="118"/>
    <x v="111"/>
    <x v="0"/>
    <x v="0"/>
    <x v="2"/>
    <x v="8"/>
  </r>
  <r>
    <x v="177"/>
    <x v="8"/>
    <x v="12"/>
    <x v="63"/>
    <x v="5"/>
    <x v="10"/>
    <x v="1"/>
    <x v="2"/>
    <x v="56"/>
    <x v="56"/>
    <x v="123"/>
    <x v="7"/>
    <x v="177"/>
    <x v="19"/>
    <x v="3"/>
    <x v="11"/>
    <x v="1"/>
    <x v="0"/>
    <x v="2"/>
    <x v="2"/>
    <x v="12"/>
    <x v="5"/>
    <x v="64"/>
    <x v="86"/>
    <x v="0"/>
    <x v="0"/>
    <x v="1"/>
    <x v="13"/>
  </r>
  <r>
    <x v="255"/>
    <x v="12"/>
    <x v="0"/>
    <x v="130"/>
    <x v="3"/>
    <x v="2"/>
    <x v="1"/>
    <x v="2"/>
    <x v="105"/>
    <x v="105"/>
    <x v="123"/>
    <x v="4"/>
    <x v="25"/>
    <x v="11"/>
    <x v="3"/>
    <x v="6"/>
    <x v="3"/>
    <x v="8"/>
    <x v="5"/>
    <x v="24"/>
    <x v="11"/>
    <x v="4"/>
    <x v="53"/>
    <x v="20"/>
    <x v="0"/>
    <x v="1"/>
    <x v="3"/>
    <x v="13"/>
  </r>
  <r>
    <x v="104"/>
    <x v="5"/>
    <x v="2"/>
    <x v="92"/>
    <x v="4"/>
    <x v="3"/>
    <x v="3"/>
    <x v="0"/>
    <x v="84"/>
    <x v="72"/>
    <x v="43"/>
    <x v="9"/>
    <x v="238"/>
    <x v="4"/>
    <x v="4"/>
    <x v="1"/>
    <x v="2"/>
    <x v="4"/>
    <x v="3"/>
    <x v="4"/>
    <x v="13"/>
    <x v="3"/>
    <x v="62"/>
    <x v="116"/>
    <x v="0"/>
    <x v="2"/>
    <x v="2"/>
    <x v="0"/>
  </r>
  <r>
    <x v="306"/>
    <x v="14"/>
    <x v="4"/>
    <x v="152"/>
    <x v="3"/>
    <x v="5"/>
    <x v="2"/>
    <x v="2"/>
    <x v="108"/>
    <x v="99"/>
    <x v="123"/>
    <x v="2"/>
    <x v="7"/>
    <x v="0"/>
    <x v="3"/>
    <x v="6"/>
    <x v="3"/>
    <x v="9"/>
    <x v="1"/>
    <x v="17"/>
    <x v="14"/>
    <x v="0"/>
    <x v="71"/>
    <x v="7"/>
    <x v="0"/>
    <x v="2"/>
    <x v="3"/>
    <x v="13"/>
  </r>
  <r>
    <x v="138"/>
    <x v="6"/>
    <x v="8"/>
    <x v="0"/>
    <x v="0"/>
    <x v="11"/>
    <x v="2"/>
    <x v="2"/>
    <x v="99"/>
    <x v="111"/>
    <x v="123"/>
    <x v="7"/>
    <x v="175"/>
    <x v="25"/>
    <x v="3"/>
    <x v="6"/>
    <x v="1"/>
    <x v="10"/>
    <x v="3"/>
    <x v="10"/>
    <x v="2"/>
    <x v="4"/>
    <x v="50"/>
    <x v="72"/>
    <x v="0"/>
    <x v="0"/>
    <x v="1"/>
    <x v="13"/>
  </r>
  <r>
    <x v="90"/>
    <x v="4"/>
    <x v="3"/>
    <x v="159"/>
    <x v="3"/>
    <x v="3"/>
    <x v="2"/>
    <x v="0"/>
    <x v="1"/>
    <x v="0"/>
    <x v="0"/>
    <x v="4"/>
    <x v="133"/>
    <x v="2"/>
    <x v="0"/>
    <x v="5"/>
    <x v="0"/>
    <x v="1"/>
    <x v="0"/>
    <x v="4"/>
    <x v="13"/>
    <x v="3"/>
    <x v="127"/>
    <x v="122"/>
    <x v="1"/>
    <x v="2"/>
    <x v="0"/>
    <x v="13"/>
  </r>
  <r>
    <x v="14"/>
    <x v="0"/>
    <x v="14"/>
    <x v="7"/>
    <x v="6"/>
    <x v="10"/>
    <x v="0"/>
    <x v="2"/>
    <x v="134"/>
    <x v="132"/>
    <x v="123"/>
    <x v="5"/>
    <x v="58"/>
    <x v="12"/>
    <x v="3"/>
    <x v="7"/>
    <x v="2"/>
    <x v="11"/>
    <x v="1"/>
    <x v="2"/>
    <x v="12"/>
    <x v="5"/>
    <x v="42"/>
    <x v="27"/>
    <x v="0"/>
    <x v="1"/>
    <x v="2"/>
    <x v="13"/>
  </r>
  <r>
    <x v="159"/>
    <x v="7"/>
    <x v="9"/>
    <x v="65"/>
    <x v="4"/>
    <x v="20"/>
    <x v="0"/>
    <x v="0"/>
    <x v="102"/>
    <x v="101"/>
    <x v="64"/>
    <x v="4"/>
    <x v="107"/>
    <x v="10"/>
    <x v="0"/>
    <x v="9"/>
    <x v="3"/>
    <x v="5"/>
    <x v="7"/>
    <x v="22"/>
    <x v="15"/>
    <x v="1"/>
    <x v="103"/>
    <x v="92"/>
    <x v="1"/>
    <x v="1"/>
    <x v="3"/>
    <x v="13"/>
  </r>
  <r>
    <x v="27"/>
    <x v="1"/>
    <x v="5"/>
    <x v="67"/>
    <x v="2"/>
    <x v="19"/>
    <x v="0"/>
    <x v="3"/>
    <x v="125"/>
    <x v="131"/>
    <x v="123"/>
    <x v="0"/>
    <x v="0"/>
    <x v="24"/>
    <x v="3"/>
    <x v="3"/>
    <x v="5"/>
    <x v="13"/>
    <x v="4"/>
    <x v="7"/>
    <x v="7"/>
    <x v="2"/>
    <x v="94"/>
    <x v="0"/>
    <x v="0"/>
    <x v="0"/>
    <x v="5"/>
    <x v="13"/>
  </r>
  <r>
    <x v="280"/>
    <x v="13"/>
    <x v="11"/>
    <x v="97"/>
    <x v="0"/>
    <x v="13"/>
    <x v="1"/>
    <x v="2"/>
    <x v="61"/>
    <x v="64"/>
    <x v="123"/>
    <x v="2"/>
    <x v="55"/>
    <x v="23"/>
    <x v="3"/>
    <x v="8"/>
    <x v="0"/>
    <x v="2"/>
    <x v="7"/>
    <x v="21"/>
    <x v="15"/>
    <x v="1"/>
    <x v="117"/>
    <x v="85"/>
    <x v="0"/>
    <x v="0"/>
    <x v="0"/>
    <x v="13"/>
  </r>
  <r>
    <x v="214"/>
    <x v="10"/>
    <x v="6"/>
    <x v="138"/>
    <x v="1"/>
    <x v="1"/>
    <x v="0"/>
    <x v="1"/>
    <x v="120"/>
    <x v="117"/>
    <x v="82"/>
    <x v="4"/>
    <x v="144"/>
    <x v="11"/>
    <x v="12"/>
    <x v="4"/>
    <x v="0"/>
    <x v="4"/>
    <x v="5"/>
    <x v="15"/>
    <x v="8"/>
    <x v="6"/>
    <x v="158"/>
    <x v="154"/>
    <x v="0"/>
    <x v="1"/>
    <x v="0"/>
    <x v="1"/>
  </r>
  <r>
    <x v="163"/>
    <x v="8"/>
    <x v="12"/>
    <x v="21"/>
    <x v="0"/>
    <x v="3"/>
    <x v="0"/>
    <x v="2"/>
    <x v="10"/>
    <x v="7"/>
    <x v="123"/>
    <x v="6"/>
    <x v="114"/>
    <x v="16"/>
    <x v="3"/>
    <x v="11"/>
    <x v="1"/>
    <x v="0"/>
    <x v="2"/>
    <x v="4"/>
    <x v="13"/>
    <x v="3"/>
    <x v="35"/>
    <x v="43"/>
    <x v="0"/>
    <x v="1"/>
    <x v="1"/>
    <x v="13"/>
  </r>
  <r>
    <x v="52"/>
    <x v="2"/>
    <x v="7"/>
    <x v="80"/>
    <x v="2"/>
    <x v="20"/>
    <x v="0"/>
    <x v="0"/>
    <x v="99"/>
    <x v="93"/>
    <x v="61"/>
    <x v="1"/>
    <x v="60"/>
    <x v="3"/>
    <x v="5"/>
    <x v="0"/>
    <x v="0"/>
    <x v="6"/>
    <x v="2"/>
    <x v="22"/>
    <x v="15"/>
    <x v="1"/>
    <x v="164"/>
    <x v="161"/>
    <x v="0"/>
    <x v="2"/>
    <x v="0"/>
    <x v="6"/>
  </r>
  <r>
    <x v="3"/>
    <x v="0"/>
    <x v="14"/>
    <x v="170"/>
    <x v="3"/>
    <x v="14"/>
    <x v="1"/>
    <x v="2"/>
    <x v="160"/>
    <x v="156"/>
    <x v="123"/>
    <x v="6"/>
    <x v="125"/>
    <x v="13"/>
    <x v="3"/>
    <x v="7"/>
    <x v="2"/>
    <x v="11"/>
    <x v="1"/>
    <x v="23"/>
    <x v="15"/>
    <x v="2"/>
    <x v="40"/>
    <x v="46"/>
    <x v="0"/>
    <x v="1"/>
    <x v="2"/>
    <x v="13"/>
  </r>
  <r>
    <x v="17"/>
    <x v="0"/>
    <x v="14"/>
    <x v="33"/>
    <x v="0"/>
    <x v="7"/>
    <x v="1"/>
    <x v="2"/>
    <x v="134"/>
    <x v="133"/>
    <x v="123"/>
    <x v="6"/>
    <x v="148"/>
    <x v="13"/>
    <x v="3"/>
    <x v="7"/>
    <x v="2"/>
    <x v="11"/>
    <x v="1"/>
    <x v="5"/>
    <x v="9"/>
    <x v="1"/>
    <x v="56"/>
    <x v="65"/>
    <x v="0"/>
    <x v="1"/>
    <x v="2"/>
    <x v="13"/>
  </r>
  <r>
    <x v="283"/>
    <x v="13"/>
    <x v="11"/>
    <x v="141"/>
    <x v="4"/>
    <x v="6"/>
    <x v="1"/>
    <x v="2"/>
    <x v="19"/>
    <x v="22"/>
    <x v="123"/>
    <x v="0"/>
    <x v="5"/>
    <x v="21"/>
    <x v="3"/>
    <x v="8"/>
    <x v="0"/>
    <x v="2"/>
    <x v="7"/>
    <x v="20"/>
    <x v="15"/>
    <x v="4"/>
    <x v="116"/>
    <x v="38"/>
    <x v="0"/>
    <x v="0"/>
    <x v="0"/>
    <x v="13"/>
  </r>
  <r>
    <x v="151"/>
    <x v="7"/>
    <x v="9"/>
    <x v="183"/>
    <x v="2"/>
    <x v="1"/>
    <x v="1"/>
    <x v="1"/>
    <x v="92"/>
    <x v="82"/>
    <x v="52"/>
    <x v="4"/>
    <x v="139"/>
    <x v="5"/>
    <x v="4"/>
    <x v="9"/>
    <x v="3"/>
    <x v="5"/>
    <x v="7"/>
    <x v="15"/>
    <x v="8"/>
    <x v="6"/>
    <x v="143"/>
    <x v="139"/>
    <x v="0"/>
    <x v="1"/>
    <x v="3"/>
    <x v="0"/>
  </r>
  <r>
    <x v="55"/>
    <x v="2"/>
    <x v="7"/>
    <x v="102"/>
    <x v="1"/>
    <x v="1"/>
    <x v="1"/>
    <x v="0"/>
    <x v="103"/>
    <x v="115"/>
    <x v="71"/>
    <x v="3"/>
    <x v="163"/>
    <x v="27"/>
    <x v="2"/>
    <x v="0"/>
    <x v="0"/>
    <x v="6"/>
    <x v="2"/>
    <x v="15"/>
    <x v="8"/>
    <x v="6"/>
    <x v="224"/>
    <x v="253"/>
    <x v="1"/>
    <x v="0"/>
    <x v="0"/>
    <x v="13"/>
  </r>
  <r>
    <x v="91"/>
    <x v="4"/>
    <x v="3"/>
    <x v="101"/>
    <x v="2"/>
    <x v="9"/>
    <x v="2"/>
    <x v="2"/>
    <x v="9"/>
    <x v="12"/>
    <x v="123"/>
    <x v="7"/>
    <x v="156"/>
    <x v="26"/>
    <x v="3"/>
    <x v="5"/>
    <x v="0"/>
    <x v="1"/>
    <x v="0"/>
    <x v="0"/>
    <x v="13"/>
    <x v="0"/>
    <x v="39"/>
    <x v="59"/>
    <x v="0"/>
    <x v="0"/>
    <x v="0"/>
    <x v="13"/>
  </r>
  <r>
    <x v="11"/>
    <x v="0"/>
    <x v="14"/>
    <x v="88"/>
    <x v="0"/>
    <x v="20"/>
    <x v="1"/>
    <x v="0"/>
    <x v="179"/>
    <x v="174"/>
    <x v="111"/>
    <x v="1"/>
    <x v="99"/>
    <x v="0"/>
    <x v="1"/>
    <x v="7"/>
    <x v="2"/>
    <x v="11"/>
    <x v="1"/>
    <x v="22"/>
    <x v="15"/>
    <x v="1"/>
    <x v="209"/>
    <x v="238"/>
    <x v="1"/>
    <x v="2"/>
    <x v="2"/>
    <x v="13"/>
  </r>
  <r>
    <x v="63"/>
    <x v="2"/>
    <x v="7"/>
    <x v="162"/>
    <x v="1"/>
    <x v="0"/>
    <x v="2"/>
    <x v="0"/>
    <x v="21"/>
    <x v="15"/>
    <x v="8"/>
    <x v="2"/>
    <x v="104"/>
    <x v="8"/>
    <x v="1"/>
    <x v="0"/>
    <x v="0"/>
    <x v="6"/>
    <x v="2"/>
    <x v="25"/>
    <x v="11"/>
    <x v="4"/>
    <x v="177"/>
    <x v="179"/>
    <x v="1"/>
    <x v="1"/>
    <x v="0"/>
    <x v="13"/>
  </r>
  <r>
    <x v="262"/>
    <x v="12"/>
    <x v="0"/>
    <x v="61"/>
    <x v="2"/>
    <x v="6"/>
    <x v="1"/>
    <x v="0"/>
    <x v="100"/>
    <x v="97"/>
    <x v="63"/>
    <x v="5"/>
    <x v="158"/>
    <x v="6"/>
    <x v="5"/>
    <x v="6"/>
    <x v="3"/>
    <x v="8"/>
    <x v="5"/>
    <x v="20"/>
    <x v="15"/>
    <x v="4"/>
    <x v="115"/>
    <x v="121"/>
    <x v="0"/>
    <x v="1"/>
    <x v="3"/>
    <x v="6"/>
  </r>
  <r>
    <x v="175"/>
    <x v="8"/>
    <x v="12"/>
    <x v="168"/>
    <x v="2"/>
    <x v="20"/>
    <x v="0"/>
    <x v="2"/>
    <x v="74"/>
    <x v="79"/>
    <x v="123"/>
    <x v="7"/>
    <x v="36"/>
    <x v="21"/>
    <x v="3"/>
    <x v="11"/>
    <x v="1"/>
    <x v="0"/>
    <x v="2"/>
    <x v="22"/>
    <x v="15"/>
    <x v="1"/>
    <x v="15"/>
    <x v="2"/>
    <x v="0"/>
    <x v="0"/>
    <x v="1"/>
    <x v="13"/>
  </r>
  <r>
    <x v="155"/>
    <x v="7"/>
    <x v="9"/>
    <x v="14"/>
    <x v="6"/>
    <x v="3"/>
    <x v="2"/>
    <x v="0"/>
    <x v="43"/>
    <x v="44"/>
    <x v="23"/>
    <x v="10"/>
    <x v="106"/>
    <x v="20"/>
    <x v="2"/>
    <x v="9"/>
    <x v="3"/>
    <x v="5"/>
    <x v="7"/>
    <x v="4"/>
    <x v="13"/>
    <x v="3"/>
    <x v="253"/>
    <x v="0"/>
    <x v="1"/>
    <x v="0"/>
    <x v="3"/>
    <x v="13"/>
  </r>
  <r>
    <x v="247"/>
    <x v="12"/>
    <x v="0"/>
    <x v="45"/>
    <x v="3"/>
    <x v="20"/>
    <x v="1"/>
    <x v="3"/>
    <x v="150"/>
    <x v="152"/>
    <x v="123"/>
    <x v="5"/>
    <x v="0"/>
    <x v="27"/>
    <x v="3"/>
    <x v="6"/>
    <x v="3"/>
    <x v="8"/>
    <x v="5"/>
    <x v="22"/>
    <x v="15"/>
    <x v="1"/>
    <x v="22"/>
    <x v="0"/>
    <x v="0"/>
    <x v="0"/>
    <x v="3"/>
    <x v="13"/>
  </r>
  <r>
    <x v="123"/>
    <x v="6"/>
    <x v="8"/>
    <x v="83"/>
    <x v="5"/>
    <x v="7"/>
    <x v="0"/>
    <x v="2"/>
    <x v="116"/>
    <x v="107"/>
    <x v="123"/>
    <x v="6"/>
    <x v="157"/>
    <x v="1"/>
    <x v="3"/>
    <x v="6"/>
    <x v="1"/>
    <x v="10"/>
    <x v="3"/>
    <x v="5"/>
    <x v="9"/>
    <x v="1"/>
    <x v="66"/>
    <x v="76"/>
    <x v="0"/>
    <x v="2"/>
    <x v="1"/>
    <x v="13"/>
  </r>
  <r>
    <x v="232"/>
    <x v="11"/>
    <x v="1"/>
    <x v="159"/>
    <x v="5"/>
    <x v="22"/>
    <x v="2"/>
    <x v="2"/>
    <x v="15"/>
    <x v="18"/>
    <x v="123"/>
    <x v="8"/>
    <x v="143"/>
    <x v="21"/>
    <x v="3"/>
    <x v="10"/>
    <x v="0"/>
    <x v="3"/>
    <x v="6"/>
    <x v="19"/>
    <x v="10"/>
    <x v="0"/>
    <x v="10"/>
    <x v="25"/>
    <x v="0"/>
    <x v="0"/>
    <x v="0"/>
    <x v="13"/>
  </r>
  <r>
    <x v="97"/>
    <x v="4"/>
    <x v="3"/>
    <x v="143"/>
    <x v="6"/>
    <x v="20"/>
    <x v="0"/>
    <x v="0"/>
    <x v="43"/>
    <x v="45"/>
    <x v="24"/>
    <x v="4"/>
    <x v="149"/>
    <x v="21"/>
    <x v="2"/>
    <x v="5"/>
    <x v="0"/>
    <x v="1"/>
    <x v="0"/>
    <x v="22"/>
    <x v="15"/>
    <x v="1"/>
    <x v="168"/>
    <x v="162"/>
    <x v="1"/>
    <x v="0"/>
    <x v="0"/>
    <x v="13"/>
  </r>
  <r>
    <x v="209"/>
    <x v="10"/>
    <x v="6"/>
    <x v="9"/>
    <x v="3"/>
    <x v="12"/>
    <x v="2"/>
    <x v="2"/>
    <x v="67"/>
    <x v="55"/>
    <x v="123"/>
    <x v="8"/>
    <x v="160"/>
    <x v="2"/>
    <x v="3"/>
    <x v="4"/>
    <x v="0"/>
    <x v="4"/>
    <x v="5"/>
    <x v="11"/>
    <x v="0"/>
    <x v="5"/>
    <x v="18"/>
    <x v="41"/>
    <x v="0"/>
    <x v="2"/>
    <x v="0"/>
    <x v="13"/>
  </r>
  <r>
    <x v="142"/>
    <x v="7"/>
    <x v="9"/>
    <x v="171"/>
    <x v="3"/>
    <x v="0"/>
    <x v="1"/>
    <x v="3"/>
    <x v="24"/>
    <x v="23"/>
    <x v="123"/>
    <x v="6"/>
    <x v="0"/>
    <x v="16"/>
    <x v="3"/>
    <x v="9"/>
    <x v="3"/>
    <x v="5"/>
    <x v="7"/>
    <x v="25"/>
    <x v="11"/>
    <x v="4"/>
    <x v="12"/>
    <x v="0"/>
    <x v="0"/>
    <x v="1"/>
    <x v="3"/>
    <x v="13"/>
  </r>
  <r>
    <x v="225"/>
    <x v="11"/>
    <x v="1"/>
    <x v="35"/>
    <x v="3"/>
    <x v="26"/>
    <x v="1"/>
    <x v="0"/>
    <x v="84"/>
    <x v="74"/>
    <x v="45"/>
    <x v="1"/>
    <x v="92"/>
    <x v="6"/>
    <x v="4"/>
    <x v="10"/>
    <x v="0"/>
    <x v="3"/>
    <x v="6"/>
    <x v="12"/>
    <x v="4"/>
    <x v="3"/>
    <x v="203"/>
    <x v="221"/>
    <x v="0"/>
    <x v="1"/>
    <x v="0"/>
    <x v="0"/>
  </r>
  <r>
    <x v="24"/>
    <x v="1"/>
    <x v="5"/>
    <x v="94"/>
    <x v="6"/>
    <x v="18"/>
    <x v="2"/>
    <x v="1"/>
    <x v="118"/>
    <x v="116"/>
    <x v="78"/>
    <x v="6"/>
    <x v="215"/>
    <x v="11"/>
    <x v="9"/>
    <x v="3"/>
    <x v="5"/>
    <x v="13"/>
    <x v="4"/>
    <x v="26"/>
    <x v="11"/>
    <x v="2"/>
    <x v="236"/>
    <x v="219"/>
    <x v="0"/>
    <x v="1"/>
    <x v="5"/>
    <x v="10"/>
  </r>
  <r>
    <x v="48"/>
    <x v="2"/>
    <x v="7"/>
    <x v="50"/>
    <x v="3"/>
    <x v="13"/>
    <x v="2"/>
    <x v="1"/>
    <x v="72"/>
    <x v="77"/>
    <x v="51"/>
    <x v="9"/>
    <x v="247"/>
    <x v="23"/>
    <x v="9"/>
    <x v="0"/>
    <x v="0"/>
    <x v="6"/>
    <x v="2"/>
    <x v="21"/>
    <x v="15"/>
    <x v="1"/>
    <x v="225"/>
    <x v="183"/>
    <x v="0"/>
    <x v="0"/>
    <x v="0"/>
    <x v="10"/>
  </r>
  <r>
    <x v="26"/>
    <x v="1"/>
    <x v="5"/>
    <x v="194"/>
    <x v="3"/>
    <x v="2"/>
    <x v="2"/>
    <x v="3"/>
    <x v="178"/>
    <x v="179"/>
    <x v="123"/>
    <x v="5"/>
    <x v="0"/>
    <x v="10"/>
    <x v="3"/>
    <x v="3"/>
    <x v="5"/>
    <x v="13"/>
    <x v="4"/>
    <x v="24"/>
    <x v="11"/>
    <x v="4"/>
    <x v="22"/>
    <x v="0"/>
    <x v="0"/>
    <x v="1"/>
    <x v="5"/>
    <x v="13"/>
  </r>
  <r>
    <x v="50"/>
    <x v="2"/>
    <x v="7"/>
    <x v="60"/>
    <x v="5"/>
    <x v="15"/>
    <x v="0"/>
    <x v="0"/>
    <x v="37"/>
    <x v="43"/>
    <x v="22"/>
    <x v="1"/>
    <x v="64"/>
    <x v="27"/>
    <x v="3"/>
    <x v="0"/>
    <x v="0"/>
    <x v="6"/>
    <x v="2"/>
    <x v="14"/>
    <x v="3"/>
    <x v="5"/>
    <x v="171"/>
    <x v="175"/>
    <x v="1"/>
    <x v="0"/>
    <x v="0"/>
    <x v="13"/>
  </r>
  <r>
    <x v="7"/>
    <x v="0"/>
    <x v="14"/>
    <x v="28"/>
    <x v="1"/>
    <x v="26"/>
    <x v="1"/>
    <x v="0"/>
    <x v="148"/>
    <x v="139"/>
    <x v="92"/>
    <x v="5"/>
    <x v="161"/>
    <x v="6"/>
    <x v="5"/>
    <x v="7"/>
    <x v="2"/>
    <x v="11"/>
    <x v="1"/>
    <x v="12"/>
    <x v="4"/>
    <x v="3"/>
    <x v="121"/>
    <x v="125"/>
    <x v="0"/>
    <x v="1"/>
    <x v="2"/>
    <x v="6"/>
  </r>
  <r>
    <x v="218"/>
    <x v="10"/>
    <x v="6"/>
    <x v="162"/>
    <x v="6"/>
    <x v="23"/>
    <x v="0"/>
    <x v="2"/>
    <x v="55"/>
    <x v="46"/>
    <x v="123"/>
    <x v="5"/>
    <x v="140"/>
    <x v="8"/>
    <x v="3"/>
    <x v="4"/>
    <x v="0"/>
    <x v="4"/>
    <x v="5"/>
    <x v="16"/>
    <x v="5"/>
    <x v="1"/>
    <x v="85"/>
    <x v="80"/>
    <x v="0"/>
    <x v="1"/>
    <x v="0"/>
    <x v="13"/>
  </r>
  <r>
    <x v="305"/>
    <x v="14"/>
    <x v="4"/>
    <x v="183"/>
    <x v="4"/>
    <x v="16"/>
    <x v="1"/>
    <x v="0"/>
    <x v="99"/>
    <x v="106"/>
    <x v="68"/>
    <x v="8"/>
    <x v="244"/>
    <x v="20"/>
    <x v="5"/>
    <x v="6"/>
    <x v="3"/>
    <x v="9"/>
    <x v="1"/>
    <x v="13"/>
    <x v="1"/>
    <x v="3"/>
    <x v="250"/>
    <x v="215"/>
    <x v="0"/>
    <x v="0"/>
    <x v="3"/>
    <x v="6"/>
  </r>
  <r>
    <x v="32"/>
    <x v="1"/>
    <x v="5"/>
    <x v="77"/>
    <x v="2"/>
    <x v="22"/>
    <x v="2"/>
    <x v="1"/>
    <x v="167"/>
    <x v="173"/>
    <x v="114"/>
    <x v="5"/>
    <x v="166"/>
    <x v="25"/>
    <x v="8"/>
    <x v="3"/>
    <x v="5"/>
    <x v="13"/>
    <x v="4"/>
    <x v="19"/>
    <x v="10"/>
    <x v="0"/>
    <x v="130"/>
    <x v="133"/>
    <x v="0"/>
    <x v="0"/>
    <x v="5"/>
    <x v="9"/>
  </r>
  <r>
    <x v="208"/>
    <x v="10"/>
    <x v="6"/>
    <x v="47"/>
    <x v="3"/>
    <x v="21"/>
    <x v="0"/>
    <x v="2"/>
    <x v="33"/>
    <x v="31"/>
    <x v="123"/>
    <x v="9"/>
    <x v="189"/>
    <x v="9"/>
    <x v="3"/>
    <x v="4"/>
    <x v="0"/>
    <x v="4"/>
    <x v="5"/>
    <x v="3"/>
    <x v="6"/>
    <x v="1"/>
    <x v="9"/>
    <x v="49"/>
    <x v="0"/>
    <x v="1"/>
    <x v="0"/>
    <x v="13"/>
  </r>
  <r>
    <x v="10"/>
    <x v="0"/>
    <x v="14"/>
    <x v="83"/>
    <x v="0"/>
    <x v="18"/>
    <x v="1"/>
    <x v="0"/>
    <x v="146"/>
    <x v="151"/>
    <x v="96"/>
    <x v="1"/>
    <x v="74"/>
    <x v="27"/>
    <x v="0"/>
    <x v="7"/>
    <x v="2"/>
    <x v="11"/>
    <x v="1"/>
    <x v="26"/>
    <x v="11"/>
    <x v="2"/>
    <x v="181"/>
    <x v="193"/>
    <x v="1"/>
    <x v="0"/>
    <x v="2"/>
    <x v="13"/>
  </r>
  <r>
    <x v="16"/>
    <x v="0"/>
    <x v="14"/>
    <x v="126"/>
    <x v="1"/>
    <x v="11"/>
    <x v="3"/>
    <x v="2"/>
    <x v="161"/>
    <x v="159"/>
    <x v="123"/>
    <x v="1"/>
    <x v="34"/>
    <x v="13"/>
    <x v="3"/>
    <x v="7"/>
    <x v="2"/>
    <x v="11"/>
    <x v="1"/>
    <x v="10"/>
    <x v="2"/>
    <x v="4"/>
    <x v="136"/>
    <x v="102"/>
    <x v="0"/>
    <x v="1"/>
    <x v="2"/>
    <x v="13"/>
  </r>
  <r>
    <x v="164"/>
    <x v="8"/>
    <x v="12"/>
    <x v="88"/>
    <x v="5"/>
    <x v="15"/>
    <x v="1"/>
    <x v="1"/>
    <x v="69"/>
    <x v="64"/>
    <x v="36"/>
    <x v="2"/>
    <x v="85"/>
    <x v="9"/>
    <x v="4"/>
    <x v="11"/>
    <x v="1"/>
    <x v="0"/>
    <x v="2"/>
    <x v="14"/>
    <x v="3"/>
    <x v="5"/>
    <x v="150"/>
    <x v="141"/>
    <x v="0"/>
    <x v="1"/>
    <x v="1"/>
    <x v="0"/>
  </r>
  <r>
    <x v="129"/>
    <x v="6"/>
    <x v="8"/>
    <x v="138"/>
    <x v="6"/>
    <x v="24"/>
    <x v="0"/>
    <x v="0"/>
    <x v="158"/>
    <x v="153"/>
    <x v="101"/>
    <x v="1"/>
    <x v="66"/>
    <x v="11"/>
    <x v="5"/>
    <x v="6"/>
    <x v="1"/>
    <x v="10"/>
    <x v="3"/>
    <x v="1"/>
    <x v="13"/>
    <x v="3"/>
    <x v="173"/>
    <x v="180"/>
    <x v="0"/>
    <x v="1"/>
    <x v="1"/>
    <x v="6"/>
  </r>
  <r>
    <x v="23"/>
    <x v="1"/>
    <x v="5"/>
    <x v="89"/>
    <x v="4"/>
    <x v="15"/>
    <x v="1"/>
    <x v="2"/>
    <x v="130"/>
    <x v="128"/>
    <x v="123"/>
    <x v="6"/>
    <x v="95"/>
    <x v="13"/>
    <x v="3"/>
    <x v="3"/>
    <x v="5"/>
    <x v="13"/>
    <x v="4"/>
    <x v="14"/>
    <x v="3"/>
    <x v="5"/>
    <x v="31"/>
    <x v="34"/>
    <x v="0"/>
    <x v="1"/>
    <x v="5"/>
    <x v="13"/>
  </r>
  <r>
    <x v="239"/>
    <x v="11"/>
    <x v="1"/>
    <x v="52"/>
    <x v="6"/>
    <x v="13"/>
    <x v="1"/>
    <x v="1"/>
    <x v="74"/>
    <x v="79"/>
    <x v="51"/>
    <x v="7"/>
    <x v="204"/>
    <x v="21"/>
    <x v="7"/>
    <x v="10"/>
    <x v="0"/>
    <x v="3"/>
    <x v="6"/>
    <x v="21"/>
    <x v="15"/>
    <x v="1"/>
    <x v="135"/>
    <x v="146"/>
    <x v="0"/>
    <x v="0"/>
    <x v="0"/>
    <x v="8"/>
  </r>
  <r>
    <x v="251"/>
    <x v="12"/>
    <x v="0"/>
    <x v="193"/>
    <x v="6"/>
    <x v="24"/>
    <x v="2"/>
    <x v="0"/>
    <x v="123"/>
    <x v="130"/>
    <x v="86"/>
    <x v="5"/>
    <x v="203"/>
    <x v="25"/>
    <x v="5"/>
    <x v="6"/>
    <x v="3"/>
    <x v="8"/>
    <x v="5"/>
    <x v="1"/>
    <x v="13"/>
    <x v="3"/>
    <x v="237"/>
    <x v="243"/>
    <x v="0"/>
    <x v="0"/>
    <x v="3"/>
    <x v="6"/>
  </r>
  <r>
    <x v="102"/>
    <x v="4"/>
    <x v="3"/>
    <x v="167"/>
    <x v="0"/>
    <x v="23"/>
    <x v="1"/>
    <x v="0"/>
    <x v="39"/>
    <x v="44"/>
    <x v="22"/>
    <x v="2"/>
    <x v="130"/>
    <x v="27"/>
    <x v="1"/>
    <x v="5"/>
    <x v="0"/>
    <x v="1"/>
    <x v="0"/>
    <x v="16"/>
    <x v="5"/>
    <x v="1"/>
    <x v="206"/>
    <x v="212"/>
    <x v="1"/>
    <x v="0"/>
    <x v="0"/>
    <x v="13"/>
  </r>
  <r>
    <x v="267"/>
    <x v="13"/>
    <x v="11"/>
    <x v="32"/>
    <x v="6"/>
    <x v="19"/>
    <x v="0"/>
    <x v="0"/>
    <x v="90"/>
    <x v="90"/>
    <x v="56"/>
    <x v="2"/>
    <x v="90"/>
    <x v="17"/>
    <x v="3"/>
    <x v="8"/>
    <x v="0"/>
    <x v="2"/>
    <x v="7"/>
    <x v="7"/>
    <x v="7"/>
    <x v="2"/>
    <x v="159"/>
    <x v="152"/>
    <x v="1"/>
    <x v="1"/>
    <x v="0"/>
    <x v="13"/>
  </r>
  <r>
    <x v="70"/>
    <x v="3"/>
    <x v="13"/>
    <x v="67"/>
    <x v="2"/>
    <x v="18"/>
    <x v="0"/>
    <x v="0"/>
    <x v="183"/>
    <x v="184"/>
    <x v="120"/>
    <x v="8"/>
    <x v="246"/>
    <x v="7"/>
    <x v="3"/>
    <x v="2"/>
    <x v="1"/>
    <x v="12"/>
    <x v="1"/>
    <x v="26"/>
    <x v="11"/>
    <x v="2"/>
    <x v="257"/>
    <x v="246"/>
    <x v="1"/>
    <x v="1"/>
    <x v="1"/>
    <x v="13"/>
  </r>
  <r>
    <x v="152"/>
    <x v="7"/>
    <x v="9"/>
    <x v="119"/>
    <x v="3"/>
    <x v="9"/>
    <x v="1"/>
    <x v="2"/>
    <x v="56"/>
    <x v="52"/>
    <x v="123"/>
    <x v="1"/>
    <x v="6"/>
    <x v="14"/>
    <x v="3"/>
    <x v="9"/>
    <x v="3"/>
    <x v="5"/>
    <x v="7"/>
    <x v="0"/>
    <x v="13"/>
    <x v="0"/>
    <x v="93"/>
    <x v="17"/>
    <x v="0"/>
    <x v="1"/>
    <x v="3"/>
    <x v="13"/>
  </r>
  <r>
    <x v="38"/>
    <x v="1"/>
    <x v="5"/>
    <x v="39"/>
    <x v="4"/>
    <x v="4"/>
    <x v="1"/>
    <x v="0"/>
    <x v="184"/>
    <x v="186"/>
    <x v="121"/>
    <x v="7"/>
    <x v="201"/>
    <x v="12"/>
    <x v="3"/>
    <x v="3"/>
    <x v="5"/>
    <x v="13"/>
    <x v="4"/>
    <x v="18"/>
    <x v="14"/>
    <x v="6"/>
    <x v="119"/>
    <x v="138"/>
    <x v="1"/>
    <x v="1"/>
    <x v="5"/>
    <x v="13"/>
  </r>
  <r>
    <x v="96"/>
    <x v="4"/>
    <x v="3"/>
    <x v="182"/>
    <x v="3"/>
    <x v="23"/>
    <x v="2"/>
    <x v="1"/>
    <x v="76"/>
    <x v="81"/>
    <x v="58"/>
    <x v="5"/>
    <x v="200"/>
    <x v="22"/>
    <x v="14"/>
    <x v="5"/>
    <x v="0"/>
    <x v="1"/>
    <x v="0"/>
    <x v="16"/>
    <x v="5"/>
    <x v="1"/>
    <x v="231"/>
    <x v="235"/>
    <x v="0"/>
    <x v="0"/>
    <x v="0"/>
    <x v="3"/>
  </r>
  <r>
    <x v="192"/>
    <x v="9"/>
    <x v="10"/>
    <x v="146"/>
    <x v="0"/>
    <x v="21"/>
    <x v="0"/>
    <x v="3"/>
    <x v="97"/>
    <x v="100"/>
    <x v="123"/>
    <x v="4"/>
    <x v="0"/>
    <x v="14"/>
    <x v="3"/>
    <x v="6"/>
    <x v="4"/>
    <x v="7"/>
    <x v="4"/>
    <x v="3"/>
    <x v="6"/>
    <x v="1"/>
    <x v="32"/>
    <x v="0"/>
    <x v="0"/>
    <x v="1"/>
    <x v="4"/>
    <x v="13"/>
  </r>
  <r>
    <x v="304"/>
    <x v="14"/>
    <x v="4"/>
    <x v="17"/>
    <x v="6"/>
    <x v="6"/>
    <x v="2"/>
    <x v="0"/>
    <x v="132"/>
    <x v="129"/>
    <x v="83"/>
    <x v="2"/>
    <x v="125"/>
    <x v="12"/>
    <x v="1"/>
    <x v="6"/>
    <x v="3"/>
    <x v="9"/>
    <x v="1"/>
    <x v="20"/>
    <x v="15"/>
    <x v="4"/>
    <x v="201"/>
    <x v="202"/>
    <x v="1"/>
    <x v="1"/>
    <x v="3"/>
    <x v="13"/>
  </r>
  <r>
    <x v="170"/>
    <x v="8"/>
    <x v="12"/>
    <x v="133"/>
    <x v="2"/>
    <x v="13"/>
    <x v="1"/>
    <x v="1"/>
    <x v="26"/>
    <x v="17"/>
    <x v="13"/>
    <x v="3"/>
    <x v="151"/>
    <x v="4"/>
    <x v="10"/>
    <x v="11"/>
    <x v="1"/>
    <x v="0"/>
    <x v="2"/>
    <x v="21"/>
    <x v="15"/>
    <x v="1"/>
    <x v="211"/>
    <x v="210"/>
    <x v="0"/>
    <x v="2"/>
    <x v="1"/>
    <x v="11"/>
  </r>
  <r>
    <x v="261"/>
    <x v="12"/>
    <x v="0"/>
    <x v="69"/>
    <x v="2"/>
    <x v="0"/>
    <x v="0"/>
    <x v="2"/>
    <x v="149"/>
    <x v="143"/>
    <x v="123"/>
    <x v="2"/>
    <x v="20"/>
    <x v="9"/>
    <x v="3"/>
    <x v="6"/>
    <x v="3"/>
    <x v="8"/>
    <x v="5"/>
    <x v="25"/>
    <x v="11"/>
    <x v="4"/>
    <x v="83"/>
    <x v="30"/>
    <x v="0"/>
    <x v="1"/>
    <x v="3"/>
    <x v="13"/>
  </r>
  <r>
    <x v="47"/>
    <x v="2"/>
    <x v="7"/>
    <x v="49"/>
    <x v="5"/>
    <x v="17"/>
    <x v="3"/>
    <x v="0"/>
    <x v="107"/>
    <x v="103"/>
    <x v="66"/>
    <x v="8"/>
    <x v="214"/>
    <x v="7"/>
    <x v="3"/>
    <x v="0"/>
    <x v="0"/>
    <x v="6"/>
    <x v="2"/>
    <x v="6"/>
    <x v="9"/>
    <x v="1"/>
    <x v="68"/>
    <x v="110"/>
    <x v="1"/>
    <x v="1"/>
    <x v="0"/>
    <x v="13"/>
  </r>
  <r>
    <x v="193"/>
    <x v="9"/>
    <x v="10"/>
    <x v="19"/>
    <x v="1"/>
    <x v="3"/>
    <x v="0"/>
    <x v="3"/>
    <x v="42"/>
    <x v="33"/>
    <x v="123"/>
    <x v="3"/>
    <x v="0"/>
    <x v="1"/>
    <x v="3"/>
    <x v="6"/>
    <x v="4"/>
    <x v="7"/>
    <x v="4"/>
    <x v="4"/>
    <x v="13"/>
    <x v="3"/>
    <x v="43"/>
    <x v="0"/>
    <x v="0"/>
    <x v="2"/>
    <x v="4"/>
    <x v="13"/>
  </r>
  <r>
    <x v="31"/>
    <x v="1"/>
    <x v="5"/>
    <x v="116"/>
    <x v="3"/>
    <x v="15"/>
    <x v="2"/>
    <x v="2"/>
    <x v="158"/>
    <x v="162"/>
    <x v="123"/>
    <x v="1"/>
    <x v="9"/>
    <x v="26"/>
    <x v="3"/>
    <x v="3"/>
    <x v="5"/>
    <x v="13"/>
    <x v="4"/>
    <x v="14"/>
    <x v="3"/>
    <x v="5"/>
    <x v="95"/>
    <x v="28"/>
    <x v="0"/>
    <x v="0"/>
    <x v="5"/>
    <x v="13"/>
  </r>
  <r>
    <x v="160"/>
    <x v="7"/>
    <x v="9"/>
    <x v="149"/>
    <x v="4"/>
    <x v="6"/>
    <x v="0"/>
    <x v="0"/>
    <x v="125"/>
    <x v="124"/>
    <x v="81"/>
    <x v="3"/>
    <x v="152"/>
    <x v="13"/>
    <x v="3"/>
    <x v="9"/>
    <x v="3"/>
    <x v="5"/>
    <x v="7"/>
    <x v="20"/>
    <x v="15"/>
    <x v="4"/>
    <x v="214"/>
    <x v="213"/>
    <x v="1"/>
    <x v="1"/>
    <x v="3"/>
    <x v="13"/>
  </r>
  <r>
    <x v="120"/>
    <x v="5"/>
    <x v="2"/>
    <x v="135"/>
    <x v="3"/>
    <x v="6"/>
    <x v="2"/>
    <x v="1"/>
    <x v="71"/>
    <x v="75"/>
    <x v="44"/>
    <x v="5"/>
    <x v="199"/>
    <x v="22"/>
    <x v="2"/>
    <x v="1"/>
    <x v="2"/>
    <x v="4"/>
    <x v="3"/>
    <x v="20"/>
    <x v="15"/>
    <x v="4"/>
    <x v="230"/>
    <x v="234"/>
    <x v="0"/>
    <x v="0"/>
    <x v="2"/>
    <x v="13"/>
  </r>
  <r>
    <x v="182"/>
    <x v="8"/>
    <x v="12"/>
    <x v="84"/>
    <x v="5"/>
    <x v="21"/>
    <x v="1"/>
    <x v="0"/>
    <x v="25"/>
    <x v="13"/>
    <x v="7"/>
    <x v="1"/>
    <x v="97"/>
    <x v="1"/>
    <x v="1"/>
    <x v="11"/>
    <x v="1"/>
    <x v="0"/>
    <x v="2"/>
    <x v="3"/>
    <x v="6"/>
    <x v="1"/>
    <x v="207"/>
    <x v="236"/>
    <x v="1"/>
    <x v="2"/>
    <x v="1"/>
    <x v="13"/>
  </r>
  <r>
    <x v="8"/>
    <x v="0"/>
    <x v="14"/>
    <x v="103"/>
    <x v="2"/>
    <x v="12"/>
    <x v="0"/>
    <x v="0"/>
    <x v="175"/>
    <x v="174"/>
    <x v="113"/>
    <x v="4"/>
    <x v="123"/>
    <x v="6"/>
    <x v="4"/>
    <x v="7"/>
    <x v="2"/>
    <x v="11"/>
    <x v="1"/>
    <x v="11"/>
    <x v="0"/>
    <x v="5"/>
    <x v="112"/>
    <x v="106"/>
    <x v="0"/>
    <x v="1"/>
    <x v="2"/>
    <x v="0"/>
  </r>
  <r>
    <x v="92"/>
    <x v="4"/>
    <x v="3"/>
    <x v="74"/>
    <x v="0"/>
    <x v="0"/>
    <x v="1"/>
    <x v="0"/>
    <x v="83"/>
    <x v="78"/>
    <x v="45"/>
    <x v="8"/>
    <x v="241"/>
    <x v="11"/>
    <x v="0"/>
    <x v="5"/>
    <x v="0"/>
    <x v="1"/>
    <x v="0"/>
    <x v="25"/>
    <x v="11"/>
    <x v="4"/>
    <x v="215"/>
    <x v="181"/>
    <x v="1"/>
    <x v="1"/>
    <x v="0"/>
    <x v="13"/>
  </r>
  <r>
    <x v="190"/>
    <x v="9"/>
    <x v="10"/>
    <x v="185"/>
    <x v="4"/>
    <x v="18"/>
    <x v="2"/>
    <x v="2"/>
    <x v="152"/>
    <x v="142"/>
    <x v="123"/>
    <x v="8"/>
    <x v="112"/>
    <x v="3"/>
    <x v="3"/>
    <x v="6"/>
    <x v="4"/>
    <x v="7"/>
    <x v="4"/>
    <x v="26"/>
    <x v="11"/>
    <x v="2"/>
    <x v="8"/>
    <x v="16"/>
    <x v="0"/>
    <x v="2"/>
    <x v="4"/>
    <x v="13"/>
  </r>
  <r>
    <x v="253"/>
    <x v="12"/>
    <x v="0"/>
    <x v="119"/>
    <x v="0"/>
    <x v="24"/>
    <x v="2"/>
    <x v="3"/>
    <x v="105"/>
    <x v="107"/>
    <x v="123"/>
    <x v="2"/>
    <x v="0"/>
    <x v="14"/>
    <x v="3"/>
    <x v="6"/>
    <x v="3"/>
    <x v="8"/>
    <x v="5"/>
    <x v="1"/>
    <x v="13"/>
    <x v="3"/>
    <x v="54"/>
    <x v="0"/>
    <x v="0"/>
    <x v="1"/>
    <x v="3"/>
    <x v="13"/>
  </r>
  <r>
    <x v="0"/>
    <x v="0"/>
    <x v="14"/>
    <x v="43"/>
    <x v="2"/>
    <x v="22"/>
    <x v="0"/>
    <x v="0"/>
    <x v="170"/>
    <x v="171"/>
    <x v="108"/>
    <x v="4"/>
    <x v="153"/>
    <x v="17"/>
    <x v="1"/>
    <x v="7"/>
    <x v="2"/>
    <x v="11"/>
    <x v="1"/>
    <x v="19"/>
    <x v="10"/>
    <x v="0"/>
    <x v="180"/>
    <x v="176"/>
    <x v="1"/>
    <x v="1"/>
    <x v="2"/>
    <x v="13"/>
  </r>
  <r>
    <x v="226"/>
    <x v="11"/>
    <x v="1"/>
    <x v="140"/>
    <x v="4"/>
    <x v="1"/>
    <x v="2"/>
    <x v="2"/>
    <x v="53"/>
    <x v="60"/>
    <x v="123"/>
    <x v="2"/>
    <x v="45"/>
    <x v="27"/>
    <x v="3"/>
    <x v="10"/>
    <x v="0"/>
    <x v="3"/>
    <x v="6"/>
    <x v="15"/>
    <x v="8"/>
    <x v="6"/>
    <x v="109"/>
    <x v="75"/>
    <x v="0"/>
    <x v="0"/>
    <x v="0"/>
    <x v="13"/>
  </r>
  <r>
    <x v="183"/>
    <x v="9"/>
    <x v="10"/>
    <x v="162"/>
    <x v="2"/>
    <x v="3"/>
    <x v="0"/>
    <x v="0"/>
    <x v="105"/>
    <x v="109"/>
    <x v="69"/>
    <x v="4"/>
    <x v="127"/>
    <x v="16"/>
    <x v="4"/>
    <x v="6"/>
    <x v="4"/>
    <x v="7"/>
    <x v="4"/>
    <x v="4"/>
    <x v="13"/>
    <x v="3"/>
    <x v="120"/>
    <x v="113"/>
    <x v="0"/>
    <x v="1"/>
    <x v="4"/>
    <x v="0"/>
  </r>
  <r>
    <x v="130"/>
    <x v="6"/>
    <x v="8"/>
    <x v="145"/>
    <x v="4"/>
    <x v="12"/>
    <x v="2"/>
    <x v="2"/>
    <x v="154"/>
    <x v="145"/>
    <x v="123"/>
    <x v="8"/>
    <x v="111"/>
    <x v="2"/>
    <x v="3"/>
    <x v="6"/>
    <x v="1"/>
    <x v="10"/>
    <x v="3"/>
    <x v="11"/>
    <x v="0"/>
    <x v="5"/>
    <x v="7"/>
    <x v="15"/>
    <x v="0"/>
    <x v="2"/>
    <x v="1"/>
    <x v="13"/>
  </r>
  <r>
    <x v="147"/>
    <x v="7"/>
    <x v="9"/>
    <x v="13"/>
    <x v="5"/>
    <x v="11"/>
    <x v="0"/>
    <x v="3"/>
    <x v="98"/>
    <x v="96"/>
    <x v="123"/>
    <x v="1"/>
    <x v="0"/>
    <x v="7"/>
    <x v="3"/>
    <x v="9"/>
    <x v="3"/>
    <x v="5"/>
    <x v="7"/>
    <x v="10"/>
    <x v="2"/>
    <x v="4"/>
    <x v="73"/>
    <x v="0"/>
    <x v="0"/>
    <x v="1"/>
    <x v="3"/>
    <x v="13"/>
  </r>
  <r>
    <x v="224"/>
    <x v="11"/>
    <x v="1"/>
    <x v="154"/>
    <x v="0"/>
    <x v="14"/>
    <x v="1"/>
    <x v="0"/>
    <x v="58"/>
    <x v="59"/>
    <x v="31"/>
    <x v="3"/>
    <x v="121"/>
    <x v="20"/>
    <x v="0"/>
    <x v="10"/>
    <x v="0"/>
    <x v="3"/>
    <x v="6"/>
    <x v="23"/>
    <x v="15"/>
    <x v="2"/>
    <x v="155"/>
    <x v="149"/>
    <x v="1"/>
    <x v="0"/>
    <x v="0"/>
    <x v="13"/>
  </r>
  <r>
    <x v="307"/>
    <x v="14"/>
    <x v="4"/>
    <x v="1"/>
    <x v="3"/>
    <x v="0"/>
    <x v="0"/>
    <x v="2"/>
    <x v="91"/>
    <x v="85"/>
    <x v="123"/>
    <x v="6"/>
    <x v="91"/>
    <x v="10"/>
    <x v="3"/>
    <x v="6"/>
    <x v="3"/>
    <x v="9"/>
    <x v="1"/>
    <x v="25"/>
    <x v="11"/>
    <x v="4"/>
    <x v="30"/>
    <x v="32"/>
    <x v="0"/>
    <x v="1"/>
    <x v="3"/>
    <x v="13"/>
  </r>
  <r>
    <x v="265"/>
    <x v="13"/>
    <x v="11"/>
    <x v="129"/>
    <x v="3"/>
    <x v="3"/>
    <x v="0"/>
    <x v="3"/>
    <x v="36"/>
    <x v="41"/>
    <x v="123"/>
    <x v="5"/>
    <x v="0"/>
    <x v="26"/>
    <x v="3"/>
    <x v="8"/>
    <x v="0"/>
    <x v="2"/>
    <x v="7"/>
    <x v="4"/>
    <x v="13"/>
    <x v="3"/>
    <x v="22"/>
    <x v="0"/>
    <x v="0"/>
    <x v="0"/>
    <x v="0"/>
    <x v="13"/>
  </r>
  <r>
    <x v="34"/>
    <x v="1"/>
    <x v="5"/>
    <x v="126"/>
    <x v="0"/>
    <x v="14"/>
    <x v="2"/>
    <x v="1"/>
    <x v="178"/>
    <x v="177"/>
    <x v="117"/>
    <x v="4"/>
    <x v="134"/>
    <x v="8"/>
    <x v="9"/>
    <x v="3"/>
    <x v="5"/>
    <x v="13"/>
    <x v="4"/>
    <x v="23"/>
    <x v="15"/>
    <x v="2"/>
    <x v="131"/>
    <x v="124"/>
    <x v="0"/>
    <x v="1"/>
    <x v="5"/>
    <x v="10"/>
  </r>
  <r>
    <x v="80"/>
    <x v="3"/>
    <x v="13"/>
    <x v="41"/>
    <x v="2"/>
    <x v="0"/>
    <x v="2"/>
    <x v="0"/>
    <x v="182"/>
    <x v="187"/>
    <x v="122"/>
    <x v="0"/>
    <x v="27"/>
    <x v="25"/>
    <x v="5"/>
    <x v="2"/>
    <x v="1"/>
    <x v="12"/>
    <x v="1"/>
    <x v="25"/>
    <x v="11"/>
    <x v="4"/>
    <x v="163"/>
    <x v="165"/>
    <x v="0"/>
    <x v="0"/>
    <x v="1"/>
    <x v="6"/>
  </r>
  <r>
    <x v="136"/>
    <x v="6"/>
    <x v="8"/>
    <x v="40"/>
    <x v="5"/>
    <x v="10"/>
    <x v="0"/>
    <x v="1"/>
    <x v="93"/>
    <x v="88"/>
    <x v="61"/>
    <x v="9"/>
    <x v="249"/>
    <x v="8"/>
    <x v="11"/>
    <x v="6"/>
    <x v="1"/>
    <x v="10"/>
    <x v="3"/>
    <x v="2"/>
    <x v="12"/>
    <x v="5"/>
    <x v="229"/>
    <x v="189"/>
    <x v="0"/>
    <x v="1"/>
    <x v="1"/>
    <x v="12"/>
  </r>
  <r>
    <x v="233"/>
    <x v="11"/>
    <x v="1"/>
    <x v="151"/>
    <x v="0"/>
    <x v="16"/>
    <x v="0"/>
    <x v="0"/>
    <x v="42"/>
    <x v="48"/>
    <x v="26"/>
    <x v="3"/>
    <x v="122"/>
    <x v="26"/>
    <x v="4"/>
    <x v="10"/>
    <x v="0"/>
    <x v="3"/>
    <x v="6"/>
    <x v="13"/>
    <x v="1"/>
    <x v="3"/>
    <x v="156"/>
    <x v="150"/>
    <x v="0"/>
    <x v="0"/>
    <x v="0"/>
    <x v="0"/>
  </r>
  <r>
    <x v="161"/>
    <x v="7"/>
    <x v="9"/>
    <x v="147"/>
    <x v="4"/>
    <x v="0"/>
    <x v="0"/>
    <x v="0"/>
    <x v="58"/>
    <x v="48"/>
    <x v="27"/>
    <x v="10"/>
    <x v="69"/>
    <x v="8"/>
    <x v="5"/>
    <x v="9"/>
    <x v="3"/>
    <x v="5"/>
    <x v="7"/>
    <x v="25"/>
    <x v="11"/>
    <x v="4"/>
    <x v="239"/>
    <x v="0"/>
    <x v="0"/>
    <x v="1"/>
    <x v="3"/>
    <x v="6"/>
  </r>
  <r>
    <x v="174"/>
    <x v="8"/>
    <x v="12"/>
    <x v="30"/>
    <x v="6"/>
    <x v="24"/>
    <x v="2"/>
    <x v="3"/>
    <x v="47"/>
    <x v="49"/>
    <x v="123"/>
    <x v="2"/>
    <x v="0"/>
    <x v="21"/>
    <x v="3"/>
    <x v="11"/>
    <x v="1"/>
    <x v="0"/>
    <x v="2"/>
    <x v="1"/>
    <x v="13"/>
    <x v="3"/>
    <x v="54"/>
    <x v="0"/>
    <x v="0"/>
    <x v="0"/>
    <x v="1"/>
    <x v="13"/>
  </r>
  <r>
    <x v="93"/>
    <x v="4"/>
    <x v="3"/>
    <x v="62"/>
    <x v="3"/>
    <x v="14"/>
    <x v="2"/>
    <x v="2"/>
    <x v="47"/>
    <x v="39"/>
    <x v="123"/>
    <x v="1"/>
    <x v="26"/>
    <x v="7"/>
    <x v="3"/>
    <x v="5"/>
    <x v="0"/>
    <x v="1"/>
    <x v="0"/>
    <x v="23"/>
    <x v="15"/>
    <x v="2"/>
    <x v="125"/>
    <x v="73"/>
    <x v="0"/>
    <x v="1"/>
    <x v="0"/>
    <x v="13"/>
  </r>
  <r>
    <x v="95"/>
    <x v="4"/>
    <x v="3"/>
    <x v="122"/>
    <x v="2"/>
    <x v="2"/>
    <x v="2"/>
    <x v="1"/>
    <x v="72"/>
    <x v="65"/>
    <x v="35"/>
    <x v="3"/>
    <x v="113"/>
    <x v="8"/>
    <x v="1"/>
    <x v="5"/>
    <x v="0"/>
    <x v="1"/>
    <x v="0"/>
    <x v="24"/>
    <x v="11"/>
    <x v="4"/>
    <x v="146"/>
    <x v="135"/>
    <x v="0"/>
    <x v="1"/>
    <x v="0"/>
    <x v="13"/>
  </r>
  <r>
    <x v="244"/>
    <x v="12"/>
    <x v="0"/>
    <x v="41"/>
    <x v="6"/>
    <x v="17"/>
    <x v="0"/>
    <x v="3"/>
    <x v="66"/>
    <x v="73"/>
    <x v="123"/>
    <x v="6"/>
    <x v="0"/>
    <x v="27"/>
    <x v="3"/>
    <x v="6"/>
    <x v="3"/>
    <x v="8"/>
    <x v="5"/>
    <x v="6"/>
    <x v="9"/>
    <x v="1"/>
    <x v="12"/>
    <x v="0"/>
    <x v="0"/>
    <x v="0"/>
    <x v="3"/>
    <x v="13"/>
  </r>
  <r>
    <x v="271"/>
    <x v="13"/>
    <x v="11"/>
    <x v="193"/>
    <x v="3"/>
    <x v="10"/>
    <x v="2"/>
    <x v="0"/>
    <x v="2"/>
    <x v="3"/>
    <x v="1"/>
    <x v="7"/>
    <x v="190"/>
    <x v="16"/>
    <x v="1"/>
    <x v="8"/>
    <x v="0"/>
    <x v="2"/>
    <x v="7"/>
    <x v="2"/>
    <x v="12"/>
    <x v="5"/>
    <x v="91"/>
    <x v="112"/>
    <x v="1"/>
    <x v="1"/>
    <x v="0"/>
    <x v="13"/>
  </r>
  <r>
    <x v="146"/>
    <x v="7"/>
    <x v="9"/>
    <x v="123"/>
    <x v="4"/>
    <x v="4"/>
    <x v="0"/>
    <x v="3"/>
    <x v="48"/>
    <x v="47"/>
    <x v="123"/>
    <x v="3"/>
    <x v="0"/>
    <x v="18"/>
    <x v="3"/>
    <x v="9"/>
    <x v="3"/>
    <x v="5"/>
    <x v="7"/>
    <x v="18"/>
    <x v="14"/>
    <x v="6"/>
    <x v="43"/>
    <x v="0"/>
    <x v="0"/>
    <x v="0"/>
    <x v="3"/>
    <x v="13"/>
  </r>
  <r>
    <x v="287"/>
    <x v="14"/>
    <x v="4"/>
    <x v="27"/>
    <x v="5"/>
    <x v="8"/>
    <x v="2"/>
    <x v="2"/>
    <x v="147"/>
    <x v="148"/>
    <x v="123"/>
    <x v="0"/>
    <x v="14"/>
    <x v="17"/>
    <x v="3"/>
    <x v="6"/>
    <x v="3"/>
    <x v="9"/>
    <x v="1"/>
    <x v="8"/>
    <x v="9"/>
    <x v="2"/>
    <x v="133"/>
    <x v="67"/>
    <x v="0"/>
    <x v="1"/>
    <x v="3"/>
    <x v="13"/>
  </r>
  <r>
    <x v="242"/>
    <x v="11"/>
    <x v="1"/>
    <x v="97"/>
    <x v="2"/>
    <x v="12"/>
    <x v="1"/>
    <x v="0"/>
    <x v="92"/>
    <x v="92"/>
    <x v="57"/>
    <x v="7"/>
    <x v="236"/>
    <x v="17"/>
    <x v="1"/>
    <x v="10"/>
    <x v="0"/>
    <x v="3"/>
    <x v="6"/>
    <x v="11"/>
    <x v="0"/>
    <x v="5"/>
    <x v="252"/>
    <x v="240"/>
    <x v="1"/>
    <x v="1"/>
    <x v="0"/>
    <x v="13"/>
  </r>
  <r>
    <x v="19"/>
    <x v="1"/>
    <x v="5"/>
    <x v="175"/>
    <x v="0"/>
    <x v="19"/>
    <x v="1"/>
    <x v="0"/>
    <x v="156"/>
    <x v="160"/>
    <x v="103"/>
    <x v="2"/>
    <x v="56"/>
    <x v="25"/>
    <x v="1"/>
    <x v="3"/>
    <x v="5"/>
    <x v="13"/>
    <x v="4"/>
    <x v="7"/>
    <x v="7"/>
    <x v="2"/>
    <x v="118"/>
    <x v="88"/>
    <x v="1"/>
    <x v="0"/>
    <x v="5"/>
    <x v="13"/>
  </r>
  <r>
    <x v="124"/>
    <x v="6"/>
    <x v="8"/>
    <x v="39"/>
    <x v="2"/>
    <x v="8"/>
    <x v="2"/>
    <x v="1"/>
    <x v="85"/>
    <x v="77"/>
    <x v="53"/>
    <x v="3"/>
    <x v="132"/>
    <x v="8"/>
    <x v="11"/>
    <x v="6"/>
    <x v="1"/>
    <x v="10"/>
    <x v="3"/>
    <x v="8"/>
    <x v="9"/>
    <x v="2"/>
    <x v="167"/>
    <x v="163"/>
    <x v="0"/>
    <x v="1"/>
    <x v="1"/>
    <x v="12"/>
  </r>
  <r>
    <x v="66"/>
    <x v="3"/>
    <x v="13"/>
    <x v="28"/>
    <x v="2"/>
    <x v="22"/>
    <x v="0"/>
    <x v="0"/>
    <x v="184"/>
    <x v="187"/>
    <x v="122"/>
    <x v="5"/>
    <x v="173"/>
    <x v="17"/>
    <x v="5"/>
    <x v="2"/>
    <x v="1"/>
    <x v="12"/>
    <x v="1"/>
    <x v="19"/>
    <x v="10"/>
    <x v="0"/>
    <x v="154"/>
    <x v="153"/>
    <x v="0"/>
    <x v="1"/>
    <x v="1"/>
    <x v="6"/>
  </r>
  <r>
    <x v="179"/>
    <x v="8"/>
    <x v="12"/>
    <x v="75"/>
    <x v="5"/>
    <x v="22"/>
    <x v="0"/>
    <x v="2"/>
    <x v="49"/>
    <x v="38"/>
    <x v="123"/>
    <x v="3"/>
    <x v="39"/>
    <x v="3"/>
    <x v="3"/>
    <x v="11"/>
    <x v="1"/>
    <x v="0"/>
    <x v="2"/>
    <x v="19"/>
    <x v="10"/>
    <x v="0"/>
    <x v="82"/>
    <x v="51"/>
    <x v="0"/>
    <x v="2"/>
    <x v="1"/>
    <x v="13"/>
  </r>
  <r>
    <x v="189"/>
    <x v="9"/>
    <x v="10"/>
    <x v="86"/>
    <x v="5"/>
    <x v="16"/>
    <x v="0"/>
    <x v="1"/>
    <x v="97"/>
    <x v="91"/>
    <x v="60"/>
    <x v="8"/>
    <x v="248"/>
    <x v="3"/>
    <x v="6"/>
    <x v="6"/>
    <x v="4"/>
    <x v="7"/>
    <x v="4"/>
    <x v="13"/>
    <x v="1"/>
    <x v="3"/>
    <x v="258"/>
    <x v="249"/>
    <x v="0"/>
    <x v="2"/>
    <x v="4"/>
    <x v="7"/>
  </r>
  <r>
    <x v="9"/>
    <x v="0"/>
    <x v="14"/>
    <x v="55"/>
    <x v="1"/>
    <x v="14"/>
    <x v="0"/>
    <x v="0"/>
    <x v="117"/>
    <x v="111"/>
    <x v="69"/>
    <x v="1"/>
    <x v="94"/>
    <x v="4"/>
    <x v="2"/>
    <x v="7"/>
    <x v="2"/>
    <x v="11"/>
    <x v="1"/>
    <x v="23"/>
    <x v="15"/>
    <x v="2"/>
    <x v="205"/>
    <x v="224"/>
    <x v="1"/>
    <x v="2"/>
    <x v="2"/>
    <x v="13"/>
  </r>
  <r>
    <x v="219"/>
    <x v="10"/>
    <x v="6"/>
    <x v="153"/>
    <x v="3"/>
    <x v="26"/>
    <x v="1"/>
    <x v="1"/>
    <x v="84"/>
    <x v="73"/>
    <x v="47"/>
    <x v="1"/>
    <x v="47"/>
    <x v="5"/>
    <x v="8"/>
    <x v="4"/>
    <x v="0"/>
    <x v="4"/>
    <x v="5"/>
    <x v="12"/>
    <x v="4"/>
    <x v="3"/>
    <x v="152"/>
    <x v="134"/>
    <x v="0"/>
    <x v="1"/>
    <x v="0"/>
    <x v="9"/>
  </r>
  <r>
    <x v="173"/>
    <x v="8"/>
    <x v="12"/>
    <x v="44"/>
    <x v="3"/>
    <x v="9"/>
    <x v="0"/>
    <x v="1"/>
    <x v="65"/>
    <x v="50"/>
    <x v="27"/>
    <x v="2"/>
    <x v="96"/>
    <x v="0"/>
    <x v="3"/>
    <x v="11"/>
    <x v="1"/>
    <x v="0"/>
    <x v="2"/>
    <x v="0"/>
    <x v="13"/>
    <x v="0"/>
    <x v="165"/>
    <x v="160"/>
    <x v="0"/>
    <x v="2"/>
    <x v="1"/>
    <x v="13"/>
  </r>
  <r>
    <x v="279"/>
    <x v="13"/>
    <x v="11"/>
    <x v="156"/>
    <x v="1"/>
    <x v="26"/>
    <x v="2"/>
    <x v="2"/>
    <x v="54"/>
    <x v="54"/>
    <x v="123"/>
    <x v="4"/>
    <x v="124"/>
    <x v="19"/>
    <x v="3"/>
    <x v="8"/>
    <x v="0"/>
    <x v="2"/>
    <x v="7"/>
    <x v="12"/>
    <x v="4"/>
    <x v="3"/>
    <x v="113"/>
    <x v="108"/>
    <x v="0"/>
    <x v="0"/>
    <x v="0"/>
    <x v="13"/>
  </r>
  <r>
    <x v="158"/>
    <x v="7"/>
    <x v="9"/>
    <x v="58"/>
    <x v="5"/>
    <x v="10"/>
    <x v="2"/>
    <x v="0"/>
    <x v="109"/>
    <x v="102"/>
    <x v="65"/>
    <x v="6"/>
    <x v="220"/>
    <x v="3"/>
    <x v="2"/>
    <x v="9"/>
    <x v="3"/>
    <x v="5"/>
    <x v="7"/>
    <x v="2"/>
    <x v="12"/>
    <x v="5"/>
    <x v="243"/>
    <x v="231"/>
    <x v="1"/>
    <x v="2"/>
    <x v="3"/>
    <x v="13"/>
  </r>
  <r>
    <x v="117"/>
    <x v="5"/>
    <x v="2"/>
    <x v="59"/>
    <x v="4"/>
    <x v="1"/>
    <x v="0"/>
    <x v="2"/>
    <x v="57"/>
    <x v="52"/>
    <x v="123"/>
    <x v="8"/>
    <x v="198"/>
    <x v="13"/>
    <x v="3"/>
    <x v="1"/>
    <x v="2"/>
    <x v="4"/>
    <x v="3"/>
    <x v="15"/>
    <x v="8"/>
    <x v="6"/>
    <x v="38"/>
    <x v="74"/>
    <x v="0"/>
    <x v="1"/>
    <x v="2"/>
    <x v="13"/>
  </r>
  <r>
    <x v="243"/>
    <x v="11"/>
    <x v="1"/>
    <x v="11"/>
    <x v="1"/>
    <x v="12"/>
    <x v="1"/>
    <x v="0"/>
    <x v="18"/>
    <x v="8"/>
    <x v="6"/>
    <x v="3"/>
    <x v="78"/>
    <x v="3"/>
    <x v="5"/>
    <x v="10"/>
    <x v="0"/>
    <x v="3"/>
    <x v="6"/>
    <x v="11"/>
    <x v="0"/>
    <x v="5"/>
    <x v="107"/>
    <x v="81"/>
    <x v="0"/>
    <x v="2"/>
    <x v="0"/>
    <x v="6"/>
  </r>
  <r>
    <x v="62"/>
    <x v="2"/>
    <x v="7"/>
    <x v="42"/>
    <x v="2"/>
    <x v="19"/>
    <x v="1"/>
    <x v="3"/>
    <x v="28"/>
    <x v="34"/>
    <x v="123"/>
    <x v="5"/>
    <x v="0"/>
    <x v="25"/>
    <x v="3"/>
    <x v="0"/>
    <x v="0"/>
    <x v="6"/>
    <x v="2"/>
    <x v="7"/>
    <x v="7"/>
    <x v="2"/>
    <x v="22"/>
    <x v="0"/>
    <x v="0"/>
    <x v="0"/>
    <x v="0"/>
    <x v="13"/>
  </r>
  <r>
    <x v="53"/>
    <x v="2"/>
    <x v="7"/>
    <x v="15"/>
    <x v="0"/>
    <x v="10"/>
    <x v="1"/>
    <x v="2"/>
    <x v="126"/>
    <x v="130"/>
    <x v="123"/>
    <x v="2"/>
    <x v="11"/>
    <x v="21"/>
    <x v="3"/>
    <x v="0"/>
    <x v="0"/>
    <x v="6"/>
    <x v="2"/>
    <x v="2"/>
    <x v="12"/>
    <x v="5"/>
    <x v="76"/>
    <x v="18"/>
    <x v="0"/>
    <x v="0"/>
    <x v="0"/>
    <x v="13"/>
  </r>
  <r>
    <x v="268"/>
    <x v="13"/>
    <x v="11"/>
    <x v="134"/>
    <x v="3"/>
    <x v="4"/>
    <x v="1"/>
    <x v="0"/>
    <x v="83"/>
    <x v="71"/>
    <x v="42"/>
    <x v="2"/>
    <x v="68"/>
    <x v="4"/>
    <x v="3"/>
    <x v="8"/>
    <x v="0"/>
    <x v="2"/>
    <x v="7"/>
    <x v="18"/>
    <x v="14"/>
    <x v="6"/>
    <x v="134"/>
    <x v="114"/>
    <x v="1"/>
    <x v="2"/>
    <x v="0"/>
    <x v="13"/>
  </r>
  <r>
    <x v="76"/>
    <x v="3"/>
    <x v="13"/>
    <x v="20"/>
    <x v="0"/>
    <x v="19"/>
    <x v="0"/>
    <x v="2"/>
    <x v="164"/>
    <x v="157"/>
    <x v="123"/>
    <x v="6"/>
    <x v="164"/>
    <x v="2"/>
    <x v="3"/>
    <x v="2"/>
    <x v="1"/>
    <x v="12"/>
    <x v="1"/>
    <x v="7"/>
    <x v="7"/>
    <x v="2"/>
    <x v="75"/>
    <x v="83"/>
    <x v="0"/>
    <x v="2"/>
    <x v="1"/>
    <x v="13"/>
  </r>
  <r>
    <x v="178"/>
    <x v="8"/>
    <x v="12"/>
    <x v="34"/>
    <x v="3"/>
    <x v="25"/>
    <x v="2"/>
    <x v="0"/>
    <x v="26"/>
    <x v="28"/>
    <x v="16"/>
    <x v="9"/>
    <x v="252"/>
    <x v="17"/>
    <x v="4"/>
    <x v="11"/>
    <x v="1"/>
    <x v="0"/>
    <x v="2"/>
    <x v="9"/>
    <x v="7"/>
    <x v="3"/>
    <x v="248"/>
    <x v="204"/>
    <x v="0"/>
    <x v="1"/>
    <x v="1"/>
    <x v="0"/>
  </r>
  <r>
    <x v="29"/>
    <x v="1"/>
    <x v="5"/>
    <x v="88"/>
    <x v="0"/>
    <x v="22"/>
    <x v="0"/>
    <x v="2"/>
    <x v="137"/>
    <x v="141"/>
    <x v="123"/>
    <x v="4"/>
    <x v="103"/>
    <x v="22"/>
    <x v="3"/>
    <x v="3"/>
    <x v="5"/>
    <x v="13"/>
    <x v="4"/>
    <x v="19"/>
    <x v="10"/>
    <x v="0"/>
    <x v="102"/>
    <x v="84"/>
    <x v="0"/>
    <x v="0"/>
    <x v="5"/>
    <x v="13"/>
  </r>
  <r>
    <x v="169"/>
    <x v="8"/>
    <x v="12"/>
    <x v="165"/>
    <x v="4"/>
    <x v="8"/>
    <x v="2"/>
    <x v="0"/>
    <x v="79"/>
    <x v="69"/>
    <x v="39"/>
    <x v="4"/>
    <x v="138"/>
    <x v="5"/>
    <x v="2"/>
    <x v="11"/>
    <x v="1"/>
    <x v="0"/>
    <x v="2"/>
    <x v="8"/>
    <x v="9"/>
    <x v="2"/>
    <x v="140"/>
    <x v="136"/>
    <x v="1"/>
    <x v="1"/>
    <x v="1"/>
    <x v="13"/>
  </r>
  <r>
    <x v="45"/>
    <x v="2"/>
    <x v="7"/>
    <x v="28"/>
    <x v="2"/>
    <x v="5"/>
    <x v="0"/>
    <x v="0"/>
    <x v="114"/>
    <x v="118"/>
    <x v="75"/>
    <x v="0"/>
    <x v="23"/>
    <x v="20"/>
    <x v="3"/>
    <x v="0"/>
    <x v="0"/>
    <x v="6"/>
    <x v="2"/>
    <x v="17"/>
    <x v="14"/>
    <x v="0"/>
    <x v="151"/>
    <x v="119"/>
    <x v="1"/>
    <x v="0"/>
    <x v="0"/>
    <x v="13"/>
  </r>
  <r>
    <x v="249"/>
    <x v="12"/>
    <x v="0"/>
    <x v="31"/>
    <x v="6"/>
    <x v="0"/>
    <x v="2"/>
    <x v="0"/>
    <x v="54"/>
    <x v="56"/>
    <x v="30"/>
    <x v="3"/>
    <x v="109"/>
    <x v="21"/>
    <x v="0"/>
    <x v="6"/>
    <x v="3"/>
    <x v="8"/>
    <x v="5"/>
    <x v="25"/>
    <x v="11"/>
    <x v="4"/>
    <x v="142"/>
    <x v="131"/>
    <x v="1"/>
    <x v="0"/>
    <x v="3"/>
    <x v="13"/>
  </r>
  <r>
    <x v="78"/>
    <x v="3"/>
    <x v="13"/>
    <x v="118"/>
    <x v="4"/>
    <x v="15"/>
    <x v="0"/>
    <x v="2"/>
    <x v="173"/>
    <x v="179"/>
    <x v="123"/>
    <x v="9"/>
    <x v="216"/>
    <x v="24"/>
    <x v="3"/>
    <x v="2"/>
    <x v="1"/>
    <x v="12"/>
    <x v="1"/>
    <x v="14"/>
    <x v="3"/>
    <x v="5"/>
    <x v="29"/>
    <x v="70"/>
    <x v="0"/>
    <x v="0"/>
    <x v="1"/>
    <x v="13"/>
  </r>
  <r>
    <x v="44"/>
    <x v="2"/>
    <x v="7"/>
    <x v="166"/>
    <x v="4"/>
    <x v="8"/>
    <x v="2"/>
    <x v="2"/>
    <x v="123"/>
    <x v="113"/>
    <x v="123"/>
    <x v="7"/>
    <x v="61"/>
    <x v="1"/>
    <x v="3"/>
    <x v="0"/>
    <x v="0"/>
    <x v="6"/>
    <x v="2"/>
    <x v="8"/>
    <x v="9"/>
    <x v="2"/>
    <x v="19"/>
    <x v="11"/>
    <x v="0"/>
    <x v="2"/>
    <x v="0"/>
    <x v="13"/>
  </r>
  <r>
    <x v="186"/>
    <x v="9"/>
    <x v="10"/>
    <x v="90"/>
    <x v="5"/>
    <x v="21"/>
    <x v="0"/>
    <x v="2"/>
    <x v="99"/>
    <x v="98"/>
    <x v="123"/>
    <x v="1"/>
    <x v="21"/>
    <x v="8"/>
    <x v="3"/>
    <x v="6"/>
    <x v="4"/>
    <x v="7"/>
    <x v="4"/>
    <x v="3"/>
    <x v="6"/>
    <x v="1"/>
    <x v="108"/>
    <x v="56"/>
    <x v="0"/>
    <x v="1"/>
    <x v="4"/>
    <x v="13"/>
  </r>
  <r>
    <x v="77"/>
    <x v="3"/>
    <x v="13"/>
    <x v="54"/>
    <x v="5"/>
    <x v="12"/>
    <x v="0"/>
    <x v="2"/>
    <x v="180"/>
    <x v="183"/>
    <x v="123"/>
    <x v="3"/>
    <x v="87"/>
    <x v="16"/>
    <x v="3"/>
    <x v="2"/>
    <x v="1"/>
    <x v="12"/>
    <x v="1"/>
    <x v="11"/>
    <x v="0"/>
    <x v="5"/>
    <x v="110"/>
    <x v="95"/>
    <x v="0"/>
    <x v="1"/>
    <x v="1"/>
    <x v="13"/>
  </r>
  <r>
    <x v="299"/>
    <x v="14"/>
    <x v="4"/>
    <x v="83"/>
    <x v="4"/>
    <x v="1"/>
    <x v="0"/>
    <x v="1"/>
    <x v="123"/>
    <x v="115"/>
    <x v="72"/>
    <x v="1"/>
    <x v="98"/>
    <x v="3"/>
    <x v="3"/>
    <x v="6"/>
    <x v="3"/>
    <x v="9"/>
    <x v="1"/>
    <x v="15"/>
    <x v="8"/>
    <x v="6"/>
    <x v="208"/>
    <x v="237"/>
    <x v="0"/>
    <x v="2"/>
    <x v="3"/>
    <x v="13"/>
  </r>
  <r>
    <x v="237"/>
    <x v="11"/>
    <x v="1"/>
    <x v="160"/>
    <x v="6"/>
    <x v="7"/>
    <x v="2"/>
    <x v="0"/>
    <x v="17"/>
    <x v="8"/>
    <x v="6"/>
    <x v="0"/>
    <x v="50"/>
    <x v="4"/>
    <x v="5"/>
    <x v="10"/>
    <x v="0"/>
    <x v="3"/>
    <x v="6"/>
    <x v="5"/>
    <x v="9"/>
    <x v="1"/>
    <x v="199"/>
    <x v="248"/>
    <x v="0"/>
    <x v="2"/>
    <x v="0"/>
    <x v="6"/>
  </r>
  <r>
    <x v="291"/>
    <x v="14"/>
    <x v="4"/>
    <x v="76"/>
    <x v="1"/>
    <x v="20"/>
    <x v="1"/>
    <x v="0"/>
    <x v="135"/>
    <x v="127"/>
    <x v="84"/>
    <x v="8"/>
    <x v="234"/>
    <x v="3"/>
    <x v="5"/>
    <x v="6"/>
    <x v="3"/>
    <x v="9"/>
    <x v="1"/>
    <x v="22"/>
    <x v="15"/>
    <x v="1"/>
    <x v="179"/>
    <x v="167"/>
    <x v="0"/>
    <x v="2"/>
    <x v="3"/>
    <x v="6"/>
  </r>
  <r>
    <x v="20"/>
    <x v="1"/>
    <x v="5"/>
    <x v="114"/>
    <x v="4"/>
    <x v="20"/>
    <x v="0"/>
    <x v="0"/>
    <x v="138"/>
    <x v="144"/>
    <x v="93"/>
    <x v="3"/>
    <x v="256"/>
    <x v="24"/>
    <x v="3"/>
    <x v="3"/>
    <x v="5"/>
    <x v="13"/>
    <x v="4"/>
    <x v="22"/>
    <x v="15"/>
    <x v="1"/>
    <x v="43"/>
    <x v="0"/>
    <x v="1"/>
    <x v="0"/>
    <x v="5"/>
    <x v="13"/>
  </r>
  <r>
    <x v="4"/>
    <x v="0"/>
    <x v="14"/>
    <x v="110"/>
    <x v="6"/>
    <x v="19"/>
    <x v="1"/>
    <x v="2"/>
    <x v="124"/>
    <x v="123"/>
    <x v="123"/>
    <x v="2"/>
    <x v="18"/>
    <x v="13"/>
    <x v="3"/>
    <x v="7"/>
    <x v="2"/>
    <x v="11"/>
    <x v="1"/>
    <x v="7"/>
    <x v="7"/>
    <x v="2"/>
    <x v="80"/>
    <x v="26"/>
    <x v="0"/>
    <x v="1"/>
    <x v="2"/>
    <x v="13"/>
  </r>
  <r>
    <x v="122"/>
    <x v="5"/>
    <x v="2"/>
    <x v="121"/>
    <x v="2"/>
    <x v="2"/>
    <x v="0"/>
    <x v="3"/>
    <x v="106"/>
    <x v="109"/>
    <x v="123"/>
    <x v="3"/>
    <x v="0"/>
    <x v="15"/>
    <x v="3"/>
    <x v="1"/>
    <x v="2"/>
    <x v="4"/>
    <x v="3"/>
    <x v="24"/>
    <x v="11"/>
    <x v="4"/>
    <x v="43"/>
    <x v="0"/>
    <x v="0"/>
    <x v="1"/>
    <x v="2"/>
    <x v="13"/>
  </r>
  <r>
    <x v="197"/>
    <x v="9"/>
    <x v="10"/>
    <x v="98"/>
    <x v="6"/>
    <x v="11"/>
    <x v="2"/>
    <x v="0"/>
    <x v="137"/>
    <x v="133"/>
    <x v="87"/>
    <x v="4"/>
    <x v="128"/>
    <x v="10"/>
    <x v="3"/>
    <x v="6"/>
    <x v="4"/>
    <x v="7"/>
    <x v="4"/>
    <x v="10"/>
    <x v="2"/>
    <x v="4"/>
    <x v="122"/>
    <x v="115"/>
    <x v="1"/>
    <x v="1"/>
    <x v="4"/>
    <x v="13"/>
  </r>
  <r>
    <x v="60"/>
    <x v="2"/>
    <x v="7"/>
    <x v="165"/>
    <x v="2"/>
    <x v="25"/>
    <x v="2"/>
    <x v="1"/>
    <x v="62"/>
    <x v="62"/>
    <x v="33"/>
    <x v="7"/>
    <x v="232"/>
    <x v="20"/>
    <x v="2"/>
    <x v="0"/>
    <x v="0"/>
    <x v="6"/>
    <x v="2"/>
    <x v="9"/>
    <x v="7"/>
    <x v="3"/>
    <x v="247"/>
    <x v="229"/>
    <x v="0"/>
    <x v="0"/>
    <x v="0"/>
    <x v="13"/>
  </r>
  <r>
    <x v="293"/>
    <x v="14"/>
    <x v="4"/>
    <x v="99"/>
    <x v="6"/>
    <x v="14"/>
    <x v="1"/>
    <x v="2"/>
    <x v="155"/>
    <x v="154"/>
    <x v="123"/>
    <x v="3"/>
    <x v="75"/>
    <x v="21"/>
    <x v="3"/>
    <x v="6"/>
    <x v="3"/>
    <x v="9"/>
    <x v="1"/>
    <x v="23"/>
    <x v="15"/>
    <x v="2"/>
    <x v="105"/>
    <x v="79"/>
    <x v="0"/>
    <x v="0"/>
    <x v="3"/>
    <x v="13"/>
  </r>
  <r>
    <x v="137"/>
    <x v="6"/>
    <x v="8"/>
    <x v="121"/>
    <x v="0"/>
    <x v="26"/>
    <x v="1"/>
    <x v="2"/>
    <x v="164"/>
    <x v="161"/>
    <x v="123"/>
    <x v="9"/>
    <x v="212"/>
    <x v="7"/>
    <x v="3"/>
    <x v="6"/>
    <x v="1"/>
    <x v="10"/>
    <x v="3"/>
    <x v="12"/>
    <x v="4"/>
    <x v="3"/>
    <x v="25"/>
    <x v="68"/>
    <x v="0"/>
    <x v="1"/>
    <x v="1"/>
    <x v="13"/>
  </r>
  <r>
    <x v="83"/>
    <x v="3"/>
    <x v="13"/>
    <x v="29"/>
    <x v="1"/>
    <x v="20"/>
    <x v="1"/>
    <x v="2"/>
    <x v="163"/>
    <x v="160"/>
    <x v="123"/>
    <x v="6"/>
    <x v="50"/>
    <x v="9"/>
    <x v="3"/>
    <x v="2"/>
    <x v="1"/>
    <x v="12"/>
    <x v="1"/>
    <x v="22"/>
    <x v="15"/>
    <x v="1"/>
    <x v="27"/>
    <x v="14"/>
    <x v="0"/>
    <x v="1"/>
    <x v="1"/>
    <x v="13"/>
  </r>
  <r>
    <x v="6"/>
    <x v="0"/>
    <x v="14"/>
    <x v="23"/>
    <x v="1"/>
    <x v="13"/>
    <x v="0"/>
    <x v="3"/>
    <x v="110"/>
    <x v="114"/>
    <x v="123"/>
    <x v="1"/>
    <x v="0"/>
    <x v="19"/>
    <x v="3"/>
    <x v="7"/>
    <x v="2"/>
    <x v="11"/>
    <x v="1"/>
    <x v="21"/>
    <x v="15"/>
    <x v="1"/>
    <x v="73"/>
    <x v="0"/>
    <x v="0"/>
    <x v="0"/>
    <x v="2"/>
    <x v="13"/>
  </r>
  <r>
    <x v="162"/>
    <x v="7"/>
    <x v="9"/>
    <x v="146"/>
    <x v="0"/>
    <x v="15"/>
    <x v="1"/>
    <x v="0"/>
    <x v="93"/>
    <x v="96"/>
    <x v="60"/>
    <x v="5"/>
    <x v="170"/>
    <x v="18"/>
    <x v="0"/>
    <x v="9"/>
    <x v="3"/>
    <x v="5"/>
    <x v="7"/>
    <x v="14"/>
    <x v="3"/>
    <x v="5"/>
    <x v="148"/>
    <x v="147"/>
    <x v="1"/>
    <x v="0"/>
    <x v="3"/>
    <x v="13"/>
  </r>
  <r>
    <x v="217"/>
    <x v="10"/>
    <x v="6"/>
    <x v="79"/>
    <x v="3"/>
    <x v="2"/>
    <x v="0"/>
    <x v="0"/>
    <x v="29"/>
    <x v="27"/>
    <x v="16"/>
    <x v="8"/>
    <x v="227"/>
    <x v="9"/>
    <x v="5"/>
    <x v="4"/>
    <x v="0"/>
    <x v="4"/>
    <x v="5"/>
    <x v="24"/>
    <x v="11"/>
    <x v="4"/>
    <x v="153"/>
    <x v="156"/>
    <x v="0"/>
    <x v="1"/>
    <x v="0"/>
    <x v="6"/>
  </r>
  <r>
    <x v="118"/>
    <x v="5"/>
    <x v="2"/>
    <x v="135"/>
    <x v="5"/>
    <x v="14"/>
    <x v="0"/>
    <x v="0"/>
    <x v="119"/>
    <x v="116"/>
    <x v="74"/>
    <x v="5"/>
    <x v="185"/>
    <x v="10"/>
    <x v="4"/>
    <x v="1"/>
    <x v="2"/>
    <x v="4"/>
    <x v="3"/>
    <x v="23"/>
    <x v="15"/>
    <x v="2"/>
    <x v="217"/>
    <x v="196"/>
    <x v="0"/>
    <x v="1"/>
    <x v="2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3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B58:G67" firstHeaderRow="1" firstDataRow="2" firstDataCol="1"/>
  <pivotFields count="28">
    <pivotField dataField="1"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Task_ID" fld="0" subtotal="count" numFmtId="166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B33:G42" firstHeaderRow="1" firstDataRow="2" firstDataCol="1"/>
  <pivotFields count="28">
    <pivotField dataField="1"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Count of Task_ID" fld="0" subtotal="count" numFmtId="166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B5:D21" firstHeaderRow="0" firstDataRow="1" firstDataCol="1"/>
  <pivotFields count="28">
    <pivotField showAll="0"/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/>
    <i/>
  </colItems>
  <dataFields count="2">
    <dataField name="Sum of Planned_Cost" fld="11" subtotal="sum" numFmtId="166"/>
    <dataField name="Sum of Actual_Cost" fld="12" subtotal="sum" numFmtId="166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4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B83:C89" firstHeaderRow="1" firstDataRow="1" firstDataCol="1"/>
  <pivotFields count="28">
    <pivotField showAll="0"/>
    <pivotField showAll="0"/>
    <pivotField showAll="0"/>
    <pivotField showAll="0"/>
    <pivotField showAll="0"/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 v="10"/>
    </i>
    <i>
      <x v="15"/>
    </i>
    <i>
      <x v="20"/>
    </i>
    <i>
      <x v="22"/>
    </i>
    <i>
      <x v="11"/>
    </i>
    <i t="grand">
      <x/>
    </i>
  </rowItems>
  <colItems count="1">
    <i/>
  </colItems>
  <dataFields count="1">
    <dataField name="Sum of Actual_Cost" fld="12" subtotal="sum" numFmtId="166"/>
  </dataFields>
  <formats count="2">
    <format dxfId="6">
      <pivotArea fieldPosition="0">
        <references count="1">
          <reference field="5" count="1">
            <x v="15"/>
          </reference>
        </references>
      </pivotArea>
    </format>
    <format dxfId="7">
      <pivotArea outline="0" fieldPosition="0"/>
    </format>
  </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sks_RawData" displayName="Tasks_RawData" ref="A1:M331" headerRowCount="1" totalsRowCount="0" totalsRowShown="0">
  <autoFilter ref="A1:M331"/>
  <tableColumns count="13">
    <tableColumn id="1" name="Task_ID"/>
    <tableColumn id="2" name="Project_ID"/>
    <tableColumn id="3" name="Project_Name"/>
    <tableColumn id="4" name="Task_Name"/>
    <tableColumn id="5" name="Department"/>
    <tableColumn id="6" name="Assigned_To"/>
    <tableColumn id="7" name="Priority"/>
    <tableColumn id="8" name="Status"/>
    <tableColumn id="9" name="Start_Date"/>
    <tableColumn id="10" name="Planned_End_Date"/>
    <tableColumn id="11" name="Actual_End_Date"/>
    <tableColumn id="12" name="Planned_Cost"/>
    <tableColumn id="13" name="Actual_Cost"/>
  </tableColumns>
</table>
</file>

<file path=xl/tables/table2.xml><?xml version="1.0" encoding="utf-8"?>
<table xmlns="http://schemas.openxmlformats.org/spreadsheetml/2006/main" id="2" name="tbl_Employees" displayName="tbl_Employees" ref="A1:E28" headerRowCount="1" totalsRowCount="0" totalsRowShown="0">
  <autoFilter ref="A1:E28"/>
  <tableColumns count="5">
    <tableColumn id="1" name="Employee_ID"/>
    <tableColumn id="2" name="Employee_Name"/>
    <tableColumn id="3" name="Department"/>
    <tableColumn id="4" name="Role"/>
    <tableColumn id="5" name="Hourly_Rate"/>
  </tableColumns>
</table>
</file>

<file path=xl/tables/table3.xml><?xml version="1.0" encoding="utf-8"?>
<table xmlns="http://schemas.openxmlformats.org/spreadsheetml/2006/main" id="3" name="tbl_Projects" displayName="tbl_Projects" ref="A1:F16" headerRowCount="1" totalsRowCount="0" totalsRowShown="0">
  <autoFilter ref="A1:F16"/>
  <tableColumns count="6">
    <tableColumn id="1" name="Project_ID"/>
    <tableColumn id="2" name="Project_Name"/>
    <tableColumn id="3" name="Client"/>
    <tableColumn id="4" name="Project_Manager"/>
    <tableColumn id="5" name="Start_Date"/>
    <tableColumn id="6" name="Budget"/>
  </tableColumns>
</table>
</file>

<file path=xl/tables/table4.xml><?xml version="1.0" encoding="utf-8"?>
<table xmlns="http://schemas.openxmlformats.org/spreadsheetml/2006/main" id="4" name="tbl_Tasks_Clean" displayName="tbl_Tasks_Clean" ref="A1:AB310" headerRowCount="1" totalsRowCount="0" totalsRowShown="0">
  <autoFilter ref="A1:AB310"/>
  <tableColumns count="28">
    <tableColumn id="1" name="Task_ID"/>
    <tableColumn id="2" name="Project_ID"/>
    <tableColumn id="3" name="Project_Name"/>
    <tableColumn id="4" name="Task_Name"/>
    <tableColumn id="5" name="Department"/>
    <tableColumn id="6" name="Assigned_To"/>
    <tableColumn id="7" name="Priority"/>
    <tableColumn id="8" name="Status"/>
    <tableColumn id="9" name="Start_Date"/>
    <tableColumn id="10" name="Planned_End_Date"/>
    <tableColumn id="11" name="Actual_End_Date"/>
    <tableColumn id="12" name="Planned_Cost"/>
    <tableColumn id="13" name="Actual_Cost"/>
    <tableColumn id="14" name="Planned_Duration_Days"/>
    <tableColumn id="15" name="Delay_Days"/>
    <tableColumn id="16" name="Client"/>
    <tableColumn id="17" name="Project_Manager"/>
    <tableColumn id="18" name="Start_Date.1"/>
    <tableColumn id="19" name="Budget"/>
    <tableColumn id="20" name="Employee_ID"/>
    <tableColumn id="21" name="Role"/>
    <tableColumn id="22" name="Hourly_Rate"/>
    <tableColumn id="23" name="Cost_Variance"/>
    <tableColumn id="24" name="Cost_Variance_%"/>
    <tableColumn id="25" name="On_Time_Flag"/>
    <tableColumn id="26" name="Task_Age_Category"/>
    <tableColumn id="27" name="Manager_Lookup"/>
    <tableColumn id="28" name="Delay_Mess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1.xml"/><Relationship Id="rId3" Type="http://schemas.openxmlformats.org/officeDocument/2006/relationships/pivotTable" Target="../pivotTables/pivotTable2.xml"/><Relationship Id="rId4" Type="http://schemas.openxmlformats.org/officeDocument/2006/relationships/pivotTable" Target="../pivotTables/pivotTable3.xml"/><Relationship Id="rId5" Type="http://schemas.openxmlformats.org/officeDocument/2006/relationships/pivotTable" Target="../pivotTables/pivot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true" showOutlineSymbols="true" defaultGridColor="true" view="normal" topLeftCell="A1" colorId="64" zoomScale="104" zoomScaleNormal="104" zoomScalePageLayoutView="100" workbookViewId="0">
      <pane xSplit="0" ySplit="1" topLeftCell="A5" activePane="bottomLeft" state="frozen"/>
      <selection pane="topLeft" activeCell="A1" activeCellId="0" sqref="A1"/>
      <selection pane="bottomLeft" activeCell="D21" activeCellId="0" sqref="D21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1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2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3" t="n">
        <v>150</v>
      </c>
    </row>
    <row r="3" customFormat="false" ht="14.25" hidden="false" customHeight="false" outlineLevel="0" collapsed="false">
      <c r="A3" s="4" t="s">
        <v>9</v>
      </c>
      <c r="B3" s="4" t="s">
        <v>10</v>
      </c>
      <c r="C3" s="4" t="s">
        <v>7</v>
      </c>
      <c r="D3" s="4" t="s">
        <v>8</v>
      </c>
      <c r="E3" s="5" t="n">
        <v>220</v>
      </c>
    </row>
    <row r="4" customFormat="false" ht="14.25" hidden="false" customHeight="false" outlineLevel="0" collapsed="false">
      <c r="A4" s="2" t="s">
        <v>11</v>
      </c>
      <c r="B4" s="2" t="s">
        <v>12</v>
      </c>
      <c r="C4" s="2" t="s">
        <v>7</v>
      </c>
      <c r="D4" s="2" t="s">
        <v>13</v>
      </c>
      <c r="E4" s="3" t="n">
        <v>280</v>
      </c>
    </row>
    <row r="5" customFormat="false" ht="14.25" hidden="false" customHeight="false" outlineLevel="0" collapsed="false">
      <c r="A5" s="4" t="s">
        <v>14</v>
      </c>
      <c r="B5" s="4" t="s">
        <v>15</v>
      </c>
      <c r="C5" s="4" t="s">
        <v>7</v>
      </c>
      <c r="D5" s="4" t="s">
        <v>16</v>
      </c>
      <c r="E5" s="5" t="n">
        <v>180</v>
      </c>
    </row>
    <row r="6" customFormat="false" ht="14.25" hidden="false" customHeight="false" outlineLevel="0" collapsed="false">
      <c r="A6" s="2" t="s">
        <v>17</v>
      </c>
      <c r="B6" s="2" t="s">
        <v>18</v>
      </c>
      <c r="C6" s="2" t="s">
        <v>7</v>
      </c>
      <c r="D6" s="2" t="s">
        <v>8</v>
      </c>
      <c r="E6" s="3" t="n">
        <v>220</v>
      </c>
    </row>
    <row r="7" customFormat="false" ht="14.25" hidden="false" customHeight="false" outlineLevel="0" collapsed="false">
      <c r="A7" s="4" t="s">
        <v>19</v>
      </c>
      <c r="B7" s="4" t="s">
        <v>20</v>
      </c>
      <c r="C7" s="4" t="s">
        <v>21</v>
      </c>
      <c r="D7" s="4" t="s">
        <v>22</v>
      </c>
      <c r="E7" s="5" t="n">
        <v>180</v>
      </c>
    </row>
    <row r="8" customFormat="false" ht="14.25" hidden="false" customHeight="false" outlineLevel="0" collapsed="false">
      <c r="A8" s="2" t="s">
        <v>23</v>
      </c>
      <c r="B8" s="2" t="s">
        <v>24</v>
      </c>
      <c r="C8" s="2" t="s">
        <v>21</v>
      </c>
      <c r="D8" s="2" t="s">
        <v>22</v>
      </c>
      <c r="E8" s="3" t="n">
        <v>180</v>
      </c>
    </row>
    <row r="9" customFormat="false" ht="14.25" hidden="false" customHeight="false" outlineLevel="0" collapsed="false">
      <c r="A9" s="4" t="s">
        <v>25</v>
      </c>
      <c r="B9" s="4" t="s">
        <v>26</v>
      </c>
      <c r="C9" s="4" t="s">
        <v>21</v>
      </c>
      <c r="D9" s="4" t="s">
        <v>27</v>
      </c>
      <c r="E9" s="5" t="n">
        <v>200</v>
      </c>
    </row>
    <row r="10" customFormat="false" ht="14.25" hidden="false" customHeight="false" outlineLevel="0" collapsed="false">
      <c r="A10" s="2" t="s">
        <v>28</v>
      </c>
      <c r="B10" s="2" t="s">
        <v>29</v>
      </c>
      <c r="C10" s="2" t="s">
        <v>21</v>
      </c>
      <c r="D10" s="2" t="s">
        <v>22</v>
      </c>
      <c r="E10" s="3" t="n">
        <v>200</v>
      </c>
    </row>
    <row r="11" customFormat="false" ht="14.25" hidden="false" customHeight="false" outlineLevel="0" collapsed="false">
      <c r="A11" s="4" t="s">
        <v>30</v>
      </c>
      <c r="B11" s="4" t="s">
        <v>31</v>
      </c>
      <c r="C11" s="4" t="s">
        <v>21</v>
      </c>
      <c r="D11" s="4" t="s">
        <v>27</v>
      </c>
      <c r="E11" s="5" t="n">
        <v>220</v>
      </c>
    </row>
    <row r="12" customFormat="false" ht="14.25" hidden="false" customHeight="false" outlineLevel="0" collapsed="false">
      <c r="A12" s="2" t="s">
        <v>32</v>
      </c>
      <c r="B12" s="2" t="s">
        <v>33</v>
      </c>
      <c r="C12" s="2" t="s">
        <v>34</v>
      </c>
      <c r="D12" s="2" t="s">
        <v>35</v>
      </c>
      <c r="E12" s="3" t="n">
        <v>250</v>
      </c>
    </row>
    <row r="13" customFormat="false" ht="14.25" hidden="false" customHeight="false" outlineLevel="0" collapsed="false">
      <c r="A13" s="4" t="s">
        <v>36</v>
      </c>
      <c r="B13" s="4" t="s">
        <v>37</v>
      </c>
      <c r="C13" s="4" t="s">
        <v>34</v>
      </c>
      <c r="D13" s="4" t="s">
        <v>38</v>
      </c>
      <c r="E13" s="5" t="n">
        <v>280</v>
      </c>
    </row>
    <row r="14" customFormat="false" ht="14.25" hidden="false" customHeight="false" outlineLevel="0" collapsed="false">
      <c r="A14" s="2" t="s">
        <v>39</v>
      </c>
      <c r="B14" s="2" t="s">
        <v>40</v>
      </c>
      <c r="C14" s="2" t="s">
        <v>34</v>
      </c>
      <c r="D14" s="2" t="s">
        <v>41</v>
      </c>
      <c r="E14" s="3" t="n">
        <v>220</v>
      </c>
    </row>
    <row r="15" customFormat="false" ht="14.25" hidden="false" customHeight="false" outlineLevel="0" collapsed="false">
      <c r="A15" s="4" t="s">
        <v>42</v>
      </c>
      <c r="B15" s="4" t="s">
        <v>43</v>
      </c>
      <c r="C15" s="4" t="s">
        <v>44</v>
      </c>
      <c r="D15" s="4" t="s">
        <v>45</v>
      </c>
      <c r="E15" s="5" t="n">
        <v>220</v>
      </c>
    </row>
    <row r="16" customFormat="false" ht="14.25" hidden="false" customHeight="false" outlineLevel="0" collapsed="false">
      <c r="A16" s="2" t="s">
        <v>46</v>
      </c>
      <c r="B16" s="2" t="s">
        <v>47</v>
      </c>
      <c r="C16" s="2" t="s">
        <v>44</v>
      </c>
      <c r="D16" s="2" t="s">
        <v>48</v>
      </c>
      <c r="E16" s="3" t="n">
        <v>280</v>
      </c>
    </row>
    <row r="17" customFormat="false" ht="14.25" hidden="false" customHeight="false" outlineLevel="0" collapsed="false">
      <c r="A17" s="4" t="s">
        <v>49</v>
      </c>
      <c r="B17" s="4" t="s">
        <v>50</v>
      </c>
      <c r="C17" s="4" t="s">
        <v>44</v>
      </c>
      <c r="D17" s="4" t="s">
        <v>51</v>
      </c>
      <c r="E17" s="5" t="n">
        <v>300</v>
      </c>
    </row>
    <row r="18" customFormat="false" ht="14.25" hidden="false" customHeight="false" outlineLevel="0" collapsed="false">
      <c r="A18" s="2" t="s">
        <v>52</v>
      </c>
      <c r="B18" s="2" t="s">
        <v>53</v>
      </c>
      <c r="C18" s="2" t="s">
        <v>54</v>
      </c>
      <c r="D18" s="2" t="s">
        <v>55</v>
      </c>
      <c r="E18" s="3" t="n">
        <v>180</v>
      </c>
    </row>
    <row r="19" customFormat="false" ht="14.25" hidden="false" customHeight="false" outlineLevel="0" collapsed="false">
      <c r="A19" s="4" t="s">
        <v>56</v>
      </c>
      <c r="B19" s="4" t="s">
        <v>57</v>
      </c>
      <c r="C19" s="4" t="s">
        <v>54</v>
      </c>
      <c r="D19" s="4" t="s">
        <v>58</v>
      </c>
      <c r="E19" s="5" t="n">
        <v>150</v>
      </c>
    </row>
    <row r="20" customFormat="false" ht="14.25" hidden="false" customHeight="false" outlineLevel="0" collapsed="false">
      <c r="A20" s="2" t="s">
        <v>59</v>
      </c>
      <c r="B20" s="2" t="s">
        <v>60</v>
      </c>
      <c r="C20" s="2" t="s">
        <v>54</v>
      </c>
      <c r="D20" s="2" t="s">
        <v>58</v>
      </c>
      <c r="E20" s="3" t="n">
        <v>300</v>
      </c>
    </row>
    <row r="21" customFormat="false" ht="14.25" hidden="false" customHeight="false" outlineLevel="0" collapsed="false">
      <c r="A21" s="4" t="s">
        <v>61</v>
      </c>
      <c r="B21" s="4" t="s">
        <v>62</v>
      </c>
      <c r="C21" s="4" t="s">
        <v>63</v>
      </c>
      <c r="D21" s="4" t="s">
        <v>64</v>
      </c>
      <c r="E21" s="5" t="n">
        <v>150</v>
      </c>
    </row>
    <row r="22" customFormat="false" ht="14.25" hidden="false" customHeight="false" outlineLevel="0" collapsed="false">
      <c r="A22" s="2" t="s">
        <v>65</v>
      </c>
      <c r="B22" s="2" t="s">
        <v>66</v>
      </c>
      <c r="C22" s="2" t="s">
        <v>63</v>
      </c>
      <c r="D22" s="2" t="s">
        <v>67</v>
      </c>
      <c r="E22" s="3" t="n">
        <v>250</v>
      </c>
    </row>
    <row r="23" customFormat="false" ht="14.25" hidden="false" customHeight="false" outlineLevel="0" collapsed="false">
      <c r="A23" s="4" t="s">
        <v>68</v>
      </c>
      <c r="B23" s="4" t="s">
        <v>69</v>
      </c>
      <c r="C23" s="4" t="s">
        <v>63</v>
      </c>
      <c r="D23" s="4" t="s">
        <v>67</v>
      </c>
      <c r="E23" s="5" t="n">
        <v>180</v>
      </c>
    </row>
    <row r="24" customFormat="false" ht="14.25" hidden="false" customHeight="false" outlineLevel="0" collapsed="false">
      <c r="A24" s="2" t="s">
        <v>70</v>
      </c>
      <c r="B24" s="2" t="s">
        <v>71</v>
      </c>
      <c r="C24" s="2" t="s">
        <v>63</v>
      </c>
      <c r="D24" s="2" t="s">
        <v>67</v>
      </c>
      <c r="E24" s="3" t="n">
        <v>180</v>
      </c>
    </row>
    <row r="25" customFormat="false" ht="14.25" hidden="false" customHeight="false" outlineLevel="0" collapsed="false">
      <c r="A25" s="4" t="s">
        <v>72</v>
      </c>
      <c r="B25" s="4" t="s">
        <v>73</v>
      </c>
      <c r="C25" s="4" t="s">
        <v>63</v>
      </c>
      <c r="D25" s="4" t="s">
        <v>67</v>
      </c>
      <c r="E25" s="5" t="n">
        <v>200</v>
      </c>
    </row>
    <row r="26" customFormat="false" ht="14.25" hidden="false" customHeight="false" outlineLevel="0" collapsed="false">
      <c r="A26" s="2" t="s">
        <v>74</v>
      </c>
      <c r="B26" s="2" t="s">
        <v>75</v>
      </c>
      <c r="C26" s="2" t="s">
        <v>76</v>
      </c>
      <c r="D26" s="2" t="s">
        <v>77</v>
      </c>
      <c r="E26" s="3" t="n">
        <v>250</v>
      </c>
    </row>
    <row r="27" customFormat="false" ht="14.25" hidden="false" customHeight="false" outlineLevel="0" collapsed="false">
      <c r="A27" s="4" t="s">
        <v>78</v>
      </c>
      <c r="B27" s="4" t="s">
        <v>79</v>
      </c>
      <c r="C27" s="4" t="s">
        <v>76</v>
      </c>
      <c r="D27" s="4" t="s">
        <v>77</v>
      </c>
      <c r="E27" s="5" t="n">
        <v>250</v>
      </c>
    </row>
    <row r="28" customFormat="false" ht="14.25" hidden="false" customHeight="false" outlineLevel="0" collapsed="false">
      <c r="A28" s="2" t="s">
        <v>80</v>
      </c>
      <c r="B28" s="2" t="s">
        <v>81</v>
      </c>
      <c r="C28" s="2" t="s">
        <v>76</v>
      </c>
      <c r="D28" s="2" t="s">
        <v>77</v>
      </c>
      <c r="E28" s="3" t="n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4" activeCellId="0" sqref="C24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26.85" hidden="false" customHeight="false" outlineLevel="0" collapsed="false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customFormat="false" ht="14.25" hidden="false" customHeight="false" outlineLevel="0" collapsed="false">
      <c r="A2" s="2" t="s">
        <v>88</v>
      </c>
      <c r="B2" s="2" t="s">
        <v>89</v>
      </c>
      <c r="C2" s="2" t="s">
        <v>90</v>
      </c>
      <c r="D2" s="2" t="s">
        <v>91</v>
      </c>
      <c r="E2" s="6" t="s">
        <v>92</v>
      </c>
      <c r="F2" s="3" t="n">
        <v>75000</v>
      </c>
    </row>
    <row r="3" customFormat="false" ht="14.25" hidden="false" customHeight="false" outlineLevel="0" collapsed="false">
      <c r="A3" s="4" t="s">
        <v>93</v>
      </c>
      <c r="B3" s="4" t="s">
        <v>94</v>
      </c>
      <c r="C3" s="4" t="s">
        <v>95</v>
      </c>
      <c r="D3" s="4" t="s">
        <v>96</v>
      </c>
      <c r="E3" s="7" t="s">
        <v>97</v>
      </c>
      <c r="F3" s="5" t="n">
        <v>150000</v>
      </c>
    </row>
    <row r="4" customFormat="false" ht="14.25" hidden="false" customHeight="false" outlineLevel="0" collapsed="false">
      <c r="A4" s="2" t="s">
        <v>98</v>
      </c>
      <c r="B4" s="2" t="s">
        <v>99</v>
      </c>
      <c r="C4" s="2" t="s">
        <v>100</v>
      </c>
      <c r="D4" s="2" t="s">
        <v>101</v>
      </c>
      <c r="E4" s="6" t="s">
        <v>102</v>
      </c>
      <c r="F4" s="3" t="n">
        <v>100000</v>
      </c>
    </row>
    <row r="5" customFormat="false" ht="14.25" hidden="false" customHeight="false" outlineLevel="0" collapsed="false">
      <c r="A5" s="4" t="s">
        <v>103</v>
      </c>
      <c r="B5" s="4" t="s">
        <v>104</v>
      </c>
      <c r="C5" s="4" t="s">
        <v>105</v>
      </c>
      <c r="D5" s="4" t="s">
        <v>106</v>
      </c>
      <c r="E5" s="7" t="s">
        <v>107</v>
      </c>
      <c r="F5" s="5" t="n">
        <v>75000</v>
      </c>
    </row>
    <row r="6" customFormat="false" ht="14.25" hidden="false" customHeight="false" outlineLevel="0" collapsed="false">
      <c r="A6" s="2" t="s">
        <v>108</v>
      </c>
      <c r="B6" s="2" t="s">
        <v>109</v>
      </c>
      <c r="C6" s="2" t="s">
        <v>110</v>
      </c>
      <c r="D6" s="2" t="s">
        <v>101</v>
      </c>
      <c r="E6" s="6" t="s">
        <v>111</v>
      </c>
      <c r="F6" s="3" t="n">
        <v>50000</v>
      </c>
    </row>
    <row r="7" customFormat="false" ht="14.25" hidden="false" customHeight="false" outlineLevel="0" collapsed="false">
      <c r="A7" s="4" t="s">
        <v>112</v>
      </c>
      <c r="B7" s="4" t="s">
        <v>113</v>
      </c>
      <c r="C7" s="4" t="s">
        <v>114</v>
      </c>
      <c r="D7" s="4" t="s">
        <v>91</v>
      </c>
      <c r="E7" s="7" t="s">
        <v>115</v>
      </c>
      <c r="F7" s="5" t="n">
        <v>120000</v>
      </c>
    </row>
    <row r="8" customFormat="false" ht="14.25" hidden="false" customHeight="false" outlineLevel="0" collapsed="false">
      <c r="A8" s="2" t="s">
        <v>116</v>
      </c>
      <c r="B8" s="2" t="s">
        <v>117</v>
      </c>
      <c r="C8" s="2" t="s">
        <v>118</v>
      </c>
      <c r="D8" s="2" t="s">
        <v>106</v>
      </c>
      <c r="E8" s="6" t="s">
        <v>119</v>
      </c>
      <c r="F8" s="3" t="n">
        <v>120000</v>
      </c>
    </row>
    <row r="9" customFormat="false" ht="14.25" hidden="false" customHeight="false" outlineLevel="0" collapsed="false">
      <c r="A9" s="4" t="s">
        <v>120</v>
      </c>
      <c r="B9" s="4" t="s">
        <v>121</v>
      </c>
      <c r="C9" s="4" t="s">
        <v>122</v>
      </c>
      <c r="D9" s="4" t="s">
        <v>123</v>
      </c>
      <c r="E9" s="7" t="s">
        <v>124</v>
      </c>
      <c r="F9" s="5" t="n">
        <v>300000</v>
      </c>
    </row>
    <row r="10" customFormat="false" ht="14.25" hidden="false" customHeight="false" outlineLevel="0" collapsed="false">
      <c r="A10" s="2" t="s">
        <v>125</v>
      </c>
      <c r="B10" s="2" t="s">
        <v>126</v>
      </c>
      <c r="C10" s="2" t="s">
        <v>127</v>
      </c>
      <c r="D10" s="2" t="s">
        <v>106</v>
      </c>
      <c r="E10" s="6" t="s">
        <v>128</v>
      </c>
      <c r="F10" s="3" t="n">
        <v>100000</v>
      </c>
    </row>
    <row r="11" customFormat="false" ht="14.25" hidden="false" customHeight="false" outlineLevel="0" collapsed="false">
      <c r="A11" s="4" t="s">
        <v>129</v>
      </c>
      <c r="B11" s="4" t="s">
        <v>130</v>
      </c>
      <c r="C11" s="4" t="s">
        <v>118</v>
      </c>
      <c r="D11" s="4" t="s">
        <v>131</v>
      </c>
      <c r="E11" s="7" t="s">
        <v>132</v>
      </c>
      <c r="F11" s="5" t="n">
        <v>150000</v>
      </c>
    </row>
    <row r="12" customFormat="false" ht="14.25" hidden="false" customHeight="false" outlineLevel="0" collapsed="false">
      <c r="A12" s="2" t="s">
        <v>133</v>
      </c>
      <c r="B12" s="2" t="s">
        <v>134</v>
      </c>
      <c r="C12" s="2" t="s">
        <v>135</v>
      </c>
      <c r="D12" s="2" t="s">
        <v>101</v>
      </c>
      <c r="E12" s="6" t="s">
        <v>115</v>
      </c>
      <c r="F12" s="3" t="n">
        <v>200000</v>
      </c>
    </row>
    <row r="13" customFormat="false" ht="14.25" hidden="false" customHeight="false" outlineLevel="0" collapsed="false">
      <c r="A13" s="4" t="s">
        <v>136</v>
      </c>
      <c r="B13" s="4" t="s">
        <v>137</v>
      </c>
      <c r="C13" s="4" t="s">
        <v>138</v>
      </c>
      <c r="D13" s="4" t="s">
        <v>101</v>
      </c>
      <c r="E13" s="7" t="s">
        <v>139</v>
      </c>
      <c r="F13" s="5" t="n">
        <v>250000</v>
      </c>
    </row>
    <row r="14" customFormat="false" ht="14.25" hidden="false" customHeight="false" outlineLevel="0" collapsed="false">
      <c r="A14" s="2" t="s">
        <v>140</v>
      </c>
      <c r="B14" s="2" t="s">
        <v>141</v>
      </c>
      <c r="C14" s="2" t="s">
        <v>118</v>
      </c>
      <c r="D14" s="2" t="s">
        <v>123</v>
      </c>
      <c r="E14" s="6" t="s">
        <v>142</v>
      </c>
      <c r="F14" s="3" t="n">
        <v>200000</v>
      </c>
    </row>
    <row r="15" customFormat="false" ht="14.25" hidden="false" customHeight="false" outlineLevel="0" collapsed="false">
      <c r="A15" s="4" t="s">
        <v>143</v>
      </c>
      <c r="B15" s="4" t="s">
        <v>144</v>
      </c>
      <c r="C15" s="4" t="s">
        <v>145</v>
      </c>
      <c r="D15" s="4" t="s">
        <v>101</v>
      </c>
      <c r="E15" s="7" t="s">
        <v>146</v>
      </c>
      <c r="F15" s="5" t="n">
        <v>300000</v>
      </c>
    </row>
    <row r="16" customFormat="false" ht="14.25" hidden="false" customHeight="false" outlineLevel="0" collapsed="false">
      <c r="A16" s="2" t="s">
        <v>147</v>
      </c>
      <c r="B16" s="2" t="s">
        <v>148</v>
      </c>
      <c r="C16" s="2" t="s">
        <v>118</v>
      </c>
      <c r="D16" s="2" t="s">
        <v>123</v>
      </c>
      <c r="E16" s="6" t="s">
        <v>149</v>
      </c>
      <c r="F16" s="3" t="n">
        <v>75000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3"/>
  <sheetViews>
    <sheetView showFormulas="false" showGridLines="true" showRowColHeaders="true" showZeros="true" rightToLeft="false" tabSelected="false" showOutlineSymbols="true" defaultGridColor="true" view="normal" topLeftCell="A1" colorId="64" zoomScale="56" zoomScaleNormal="56" zoomScalePageLayoutView="100" workbookViewId="0">
      <pane xSplit="0" ySplit="1" topLeftCell="A2" activePane="bottomLeft" state="frozen"/>
      <selection pane="topLeft" activeCell="A1" activeCellId="0" sqref="A1"/>
      <selection pane="bottomLeft" activeCell="O3" activeCellId="0" sqref="O3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0" width="10.56"/>
    <col collapsed="false" customWidth="true" hidden="false" outlineLevel="0" max="2" min="2" style="0" width="12.88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14.33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21.22"/>
    <col collapsed="false" customWidth="true" hidden="false" outlineLevel="0" max="11" min="11" style="0" width="19.44"/>
    <col collapsed="false" customWidth="true" hidden="false" outlineLevel="0" max="12" min="12" style="0" width="16.33"/>
    <col collapsed="false" customWidth="true" hidden="false" outlineLevel="0" max="13" min="13" style="0" width="14.56"/>
  </cols>
  <sheetData>
    <row r="1" customFormat="false" ht="14.25" hidden="false" customHeight="false" outlineLevel="0" collapsed="false">
      <c r="A1" s="8" t="s">
        <v>150</v>
      </c>
      <c r="B1" s="9" t="s">
        <v>82</v>
      </c>
      <c r="C1" s="9" t="s">
        <v>83</v>
      </c>
      <c r="D1" s="9" t="s">
        <v>151</v>
      </c>
      <c r="E1" s="9" t="s">
        <v>2</v>
      </c>
      <c r="F1" s="9" t="s">
        <v>152</v>
      </c>
      <c r="G1" s="9" t="s">
        <v>153</v>
      </c>
      <c r="H1" s="9" t="s">
        <v>154</v>
      </c>
      <c r="I1" s="9" t="s">
        <v>86</v>
      </c>
      <c r="J1" s="9" t="s">
        <v>155</v>
      </c>
      <c r="K1" s="9" t="s">
        <v>156</v>
      </c>
      <c r="L1" s="9" t="s">
        <v>157</v>
      </c>
      <c r="M1" s="10" t="s">
        <v>158</v>
      </c>
    </row>
    <row r="2" customFormat="false" ht="14.25" hidden="false" customHeight="false" outlineLevel="0" collapsed="false">
      <c r="A2" s="11" t="s">
        <v>159</v>
      </c>
      <c r="B2" s="2" t="s">
        <v>103</v>
      </c>
      <c r="C2" s="2" t="s">
        <v>104</v>
      </c>
      <c r="D2" s="2" t="s">
        <v>160</v>
      </c>
      <c r="E2" s="2" t="s">
        <v>161</v>
      </c>
      <c r="F2" s="2" t="s">
        <v>57</v>
      </c>
      <c r="G2" s="2" t="s">
        <v>162</v>
      </c>
      <c r="H2" s="2" t="s">
        <v>163</v>
      </c>
      <c r="I2" s="2" t="s">
        <v>164</v>
      </c>
      <c r="J2" s="2" t="s">
        <v>165</v>
      </c>
      <c r="K2" s="2" t="s">
        <v>166</v>
      </c>
      <c r="L2" s="2" t="n">
        <v>1500</v>
      </c>
      <c r="M2" s="12" t="n">
        <v>1396</v>
      </c>
    </row>
    <row r="3" customFormat="false" ht="14.25" hidden="false" customHeight="false" outlineLevel="0" collapsed="false">
      <c r="A3" s="13" t="s">
        <v>167</v>
      </c>
      <c r="B3" s="4" t="s">
        <v>143</v>
      </c>
      <c r="C3" s="4" t="s">
        <v>144</v>
      </c>
      <c r="D3" s="4" t="s">
        <v>168</v>
      </c>
      <c r="E3" s="4" t="s">
        <v>21</v>
      </c>
      <c r="F3" s="4" t="s">
        <v>47</v>
      </c>
      <c r="G3" s="4" t="s">
        <v>169</v>
      </c>
      <c r="H3" s="4" t="s">
        <v>170</v>
      </c>
      <c r="I3" s="4" t="s">
        <v>119</v>
      </c>
      <c r="J3" s="4" t="s">
        <v>171</v>
      </c>
      <c r="K3" s="4"/>
      <c r="L3" s="4" t="n">
        <v>4000</v>
      </c>
      <c r="M3" s="14" t="n">
        <v>1731</v>
      </c>
    </row>
    <row r="4" customFormat="false" ht="14.25" hidden="false" customHeight="false" outlineLevel="0" collapsed="false">
      <c r="A4" s="11" t="s">
        <v>172</v>
      </c>
      <c r="B4" s="2" t="s">
        <v>133</v>
      </c>
      <c r="C4" s="2" t="s">
        <v>134</v>
      </c>
      <c r="D4" s="2" t="s">
        <v>173</v>
      </c>
      <c r="E4" s="2" t="s">
        <v>174</v>
      </c>
      <c r="F4" s="2" t="s">
        <v>37</v>
      </c>
      <c r="G4" s="2" t="s">
        <v>175</v>
      </c>
      <c r="H4" s="2" t="s">
        <v>176</v>
      </c>
      <c r="I4" s="2" t="s">
        <v>177</v>
      </c>
      <c r="J4" s="2" t="s">
        <v>178</v>
      </c>
      <c r="K4" s="2"/>
      <c r="L4" s="2" t="n">
        <v>1500</v>
      </c>
      <c r="M4" s="12" t="n">
        <v>377</v>
      </c>
    </row>
    <row r="5" customFormat="false" ht="14.25" hidden="false" customHeight="false" outlineLevel="0" collapsed="false">
      <c r="A5" s="13" t="s">
        <v>179</v>
      </c>
      <c r="B5" s="4" t="s">
        <v>112</v>
      </c>
      <c r="C5" s="4" t="s">
        <v>113</v>
      </c>
      <c r="D5" s="4" t="s">
        <v>180</v>
      </c>
      <c r="E5" s="4" t="s">
        <v>181</v>
      </c>
      <c r="F5" s="4" t="s">
        <v>79</v>
      </c>
      <c r="G5" s="4" t="s">
        <v>182</v>
      </c>
      <c r="H5" s="4" t="s">
        <v>183</v>
      </c>
      <c r="I5" s="4" t="s">
        <v>184</v>
      </c>
      <c r="J5" s="4" t="s">
        <v>185</v>
      </c>
      <c r="K5" s="4" t="s">
        <v>186</v>
      </c>
      <c r="L5" s="4" t="n">
        <v>4000</v>
      </c>
      <c r="M5" s="14" t="n">
        <v>4369</v>
      </c>
    </row>
    <row r="6" customFormat="false" ht="14.25" hidden="false" customHeight="false" outlineLevel="0" collapsed="false">
      <c r="A6" s="11" t="s">
        <v>187</v>
      </c>
      <c r="B6" s="2" t="s">
        <v>147</v>
      </c>
      <c r="C6" s="2" t="s">
        <v>148</v>
      </c>
      <c r="D6" s="2" t="s">
        <v>188</v>
      </c>
      <c r="E6" s="2" t="s">
        <v>161</v>
      </c>
      <c r="F6" s="2" t="s">
        <v>50</v>
      </c>
      <c r="G6" s="2" t="s">
        <v>189</v>
      </c>
      <c r="H6" s="2" t="s">
        <v>176</v>
      </c>
      <c r="I6" s="2" t="s">
        <v>190</v>
      </c>
      <c r="J6" s="2" t="s">
        <v>191</v>
      </c>
      <c r="K6" s="2"/>
      <c r="L6" s="2" t="n">
        <v>4000</v>
      </c>
      <c r="M6" s="12" t="n">
        <v>1678</v>
      </c>
    </row>
    <row r="7" customFormat="false" ht="14.25" hidden="false" customHeight="false" outlineLevel="0" collapsed="false">
      <c r="A7" s="13" t="s">
        <v>192</v>
      </c>
      <c r="B7" s="4" t="s">
        <v>120</v>
      </c>
      <c r="C7" s="4" t="s">
        <v>121</v>
      </c>
      <c r="D7" s="4" t="s">
        <v>193</v>
      </c>
      <c r="E7" s="4" t="s">
        <v>34</v>
      </c>
      <c r="F7" s="4" t="s">
        <v>69</v>
      </c>
      <c r="G7" s="4" t="s">
        <v>169</v>
      </c>
      <c r="H7" s="4" t="s">
        <v>194</v>
      </c>
      <c r="I7" s="4" t="s">
        <v>195</v>
      </c>
      <c r="J7" s="4" t="s">
        <v>196</v>
      </c>
      <c r="K7" s="4" t="s">
        <v>197</v>
      </c>
      <c r="L7" s="4" t="n">
        <v>1000</v>
      </c>
      <c r="M7" s="14" t="n">
        <v>1347</v>
      </c>
    </row>
    <row r="8" customFormat="false" ht="14.25" hidden="false" customHeight="false" outlineLevel="0" collapsed="false">
      <c r="A8" s="11" t="s">
        <v>198</v>
      </c>
      <c r="B8" s="2" t="s">
        <v>147</v>
      </c>
      <c r="C8" s="2" t="s">
        <v>148</v>
      </c>
      <c r="D8" s="2" t="s">
        <v>199</v>
      </c>
      <c r="E8" s="2" t="s">
        <v>161</v>
      </c>
      <c r="F8" s="2" t="s">
        <v>66</v>
      </c>
      <c r="G8" s="2" t="s">
        <v>200</v>
      </c>
      <c r="H8" s="2" t="s">
        <v>201</v>
      </c>
      <c r="I8" s="2" t="s">
        <v>202</v>
      </c>
      <c r="J8" s="2" t="s">
        <v>203</v>
      </c>
      <c r="K8" s="2"/>
      <c r="L8" s="2" t="n">
        <v>10000</v>
      </c>
      <c r="M8" s="12" t="n">
        <v>0</v>
      </c>
    </row>
    <row r="9" customFormat="false" ht="14.25" hidden="false" customHeight="false" outlineLevel="0" collapsed="false">
      <c r="A9" s="13" t="s">
        <v>204</v>
      </c>
      <c r="B9" s="4" t="s">
        <v>98</v>
      </c>
      <c r="C9" s="4" t="s">
        <v>99</v>
      </c>
      <c r="D9" s="4" t="s">
        <v>205</v>
      </c>
      <c r="E9" s="4"/>
      <c r="F9" s="4" t="s">
        <v>62</v>
      </c>
      <c r="G9" s="4" t="s">
        <v>206</v>
      </c>
      <c r="H9" s="4" t="s">
        <v>207</v>
      </c>
      <c r="I9" s="4" t="s">
        <v>208</v>
      </c>
      <c r="J9" s="4" t="s">
        <v>209</v>
      </c>
      <c r="K9" s="4"/>
      <c r="L9" s="4" t="n">
        <v>1000</v>
      </c>
      <c r="M9" s="14" t="n">
        <v>0</v>
      </c>
    </row>
    <row r="10" customFormat="false" ht="14.25" hidden="false" customHeight="false" outlineLevel="0" collapsed="false">
      <c r="A10" s="11" t="s">
        <v>210</v>
      </c>
      <c r="B10" s="2" t="s">
        <v>88</v>
      </c>
      <c r="C10" s="2" t="s">
        <v>89</v>
      </c>
      <c r="D10" s="2" t="s">
        <v>211</v>
      </c>
      <c r="E10" s="2" t="s">
        <v>21</v>
      </c>
      <c r="F10" s="2" t="s">
        <v>57</v>
      </c>
      <c r="G10" s="2" t="s">
        <v>182</v>
      </c>
      <c r="H10" s="2" t="s">
        <v>212</v>
      </c>
      <c r="I10" s="2" t="s">
        <v>213</v>
      </c>
      <c r="J10" s="2" t="s">
        <v>214</v>
      </c>
      <c r="K10" s="2"/>
      <c r="L10" s="2" t="n">
        <v>1500</v>
      </c>
      <c r="M10" s="12" t="n">
        <v>618</v>
      </c>
    </row>
    <row r="11" customFormat="false" ht="14.25" hidden="false" customHeight="false" outlineLevel="0" collapsed="false">
      <c r="A11" s="13" t="s">
        <v>215</v>
      </c>
      <c r="B11" s="4" t="s">
        <v>108</v>
      </c>
      <c r="C11" s="4" t="s">
        <v>109</v>
      </c>
      <c r="D11" s="4" t="s">
        <v>216</v>
      </c>
      <c r="E11" s="4" t="s">
        <v>217</v>
      </c>
      <c r="F11" s="4" t="s">
        <v>29</v>
      </c>
      <c r="G11" s="4" t="s">
        <v>218</v>
      </c>
      <c r="H11" s="4" t="s">
        <v>219</v>
      </c>
      <c r="I11" s="4" t="s">
        <v>220</v>
      </c>
      <c r="J11" s="4" t="s">
        <v>221</v>
      </c>
      <c r="K11" s="4" t="s">
        <v>222</v>
      </c>
      <c r="L11" s="4" t="n">
        <v>10000</v>
      </c>
      <c r="M11" s="14" t="n">
        <v>7969</v>
      </c>
    </row>
    <row r="12" customFormat="false" ht="14.25" hidden="false" customHeight="false" outlineLevel="0" collapsed="false">
      <c r="A12" s="11" t="s">
        <v>223</v>
      </c>
      <c r="B12" s="2" t="s">
        <v>133</v>
      </c>
      <c r="C12" s="2" t="s">
        <v>134</v>
      </c>
      <c r="D12" s="2" t="s">
        <v>224</v>
      </c>
      <c r="E12" s="2" t="s">
        <v>225</v>
      </c>
      <c r="F12" s="2" t="s">
        <v>15</v>
      </c>
      <c r="G12" s="2" t="s">
        <v>226</v>
      </c>
      <c r="H12" s="2" t="s">
        <v>227</v>
      </c>
      <c r="I12" s="2" t="s">
        <v>228</v>
      </c>
      <c r="J12" s="2" t="s">
        <v>229</v>
      </c>
      <c r="K12" s="2"/>
      <c r="L12" s="2" t="n">
        <v>4000</v>
      </c>
      <c r="M12" s="12" t="n">
        <v>2110</v>
      </c>
    </row>
    <row r="13" customFormat="false" ht="14.25" hidden="false" customHeight="false" outlineLevel="0" collapsed="false">
      <c r="A13" s="13" t="s">
        <v>230</v>
      </c>
      <c r="B13" s="4" t="s">
        <v>108</v>
      </c>
      <c r="C13" s="4" t="s">
        <v>109</v>
      </c>
      <c r="D13" s="4" t="s">
        <v>231</v>
      </c>
      <c r="E13" s="4" t="s">
        <v>232</v>
      </c>
      <c r="F13" s="4" t="s">
        <v>18</v>
      </c>
      <c r="G13" s="4" t="s">
        <v>200</v>
      </c>
      <c r="H13" s="4" t="s">
        <v>219</v>
      </c>
      <c r="I13" s="4" t="s">
        <v>233</v>
      </c>
      <c r="J13" s="4" t="s">
        <v>234</v>
      </c>
      <c r="K13" s="4" t="s">
        <v>235</v>
      </c>
      <c r="L13" s="4"/>
      <c r="M13" s="14" t="n">
        <v>2553</v>
      </c>
    </row>
    <row r="14" customFormat="false" ht="14.25" hidden="false" customHeight="false" outlineLevel="0" collapsed="false">
      <c r="A14" s="11" t="s">
        <v>236</v>
      </c>
      <c r="B14" s="2" t="s">
        <v>125</v>
      </c>
      <c r="C14" s="2" t="s">
        <v>126</v>
      </c>
      <c r="D14" s="2" t="s">
        <v>237</v>
      </c>
      <c r="E14" s="2" t="s">
        <v>238</v>
      </c>
      <c r="F14" s="2" t="s">
        <v>66</v>
      </c>
      <c r="G14" s="2" t="s">
        <v>218</v>
      </c>
      <c r="H14" s="2" t="s">
        <v>239</v>
      </c>
      <c r="I14" s="2" t="s">
        <v>240</v>
      </c>
      <c r="J14" s="2" t="s">
        <v>241</v>
      </c>
      <c r="K14" s="2" t="s">
        <v>241</v>
      </c>
      <c r="L14" s="2" t="n">
        <v>1500</v>
      </c>
      <c r="M14" s="12" t="n">
        <v>1823</v>
      </c>
    </row>
    <row r="15" customFormat="false" ht="14.25" hidden="false" customHeight="false" outlineLevel="0" collapsed="false">
      <c r="A15" s="13" t="s">
        <v>242</v>
      </c>
      <c r="B15" s="4" t="s">
        <v>120</v>
      </c>
      <c r="C15" s="4" t="s">
        <v>121</v>
      </c>
      <c r="D15" s="4" t="s">
        <v>205</v>
      </c>
      <c r="E15" s="4"/>
      <c r="F15" s="4" t="s">
        <v>12</v>
      </c>
      <c r="G15" s="4" t="s">
        <v>243</v>
      </c>
      <c r="H15" s="4" t="s">
        <v>244</v>
      </c>
      <c r="I15" s="4" t="s">
        <v>245</v>
      </c>
      <c r="J15" s="4" t="s">
        <v>246</v>
      </c>
      <c r="K15" s="4"/>
      <c r="L15" s="4" t="n">
        <v>10000</v>
      </c>
      <c r="M15" s="14" t="n">
        <v>5964</v>
      </c>
    </row>
    <row r="16" customFormat="false" ht="14.25" hidden="false" customHeight="false" outlineLevel="0" collapsed="false">
      <c r="A16" s="11" t="s">
        <v>247</v>
      </c>
      <c r="B16" s="2" t="s">
        <v>98</v>
      </c>
      <c r="C16" s="2" t="s">
        <v>99</v>
      </c>
      <c r="D16" s="2" t="s">
        <v>248</v>
      </c>
      <c r="E16" s="2" t="s">
        <v>225</v>
      </c>
      <c r="F16" s="2" t="s">
        <v>57</v>
      </c>
      <c r="G16" s="2" t="s">
        <v>200</v>
      </c>
      <c r="H16" s="2" t="s">
        <v>249</v>
      </c>
      <c r="I16" s="2" t="s">
        <v>250</v>
      </c>
      <c r="J16" s="2" t="s">
        <v>228</v>
      </c>
      <c r="K16" s="2" t="s">
        <v>251</v>
      </c>
      <c r="L16" s="2" t="n">
        <v>4000</v>
      </c>
      <c r="M16" s="12" t="n">
        <v>5187</v>
      </c>
    </row>
    <row r="17" customFormat="false" ht="14.25" hidden="false" customHeight="false" outlineLevel="0" collapsed="false">
      <c r="A17" s="13" t="s">
        <v>252</v>
      </c>
      <c r="B17" s="4" t="s">
        <v>143</v>
      </c>
      <c r="C17" s="4" t="s">
        <v>144</v>
      </c>
      <c r="D17" s="4" t="s">
        <v>253</v>
      </c>
      <c r="E17" s="4" t="s">
        <v>254</v>
      </c>
      <c r="F17" s="4" t="s">
        <v>81</v>
      </c>
      <c r="G17" s="4" t="s">
        <v>175</v>
      </c>
      <c r="H17" s="4" t="s">
        <v>249</v>
      </c>
      <c r="I17" s="4" t="s">
        <v>255</v>
      </c>
      <c r="J17" s="4" t="s">
        <v>256</v>
      </c>
      <c r="K17" s="4" t="s">
        <v>257</v>
      </c>
      <c r="L17" s="4" t="n">
        <v>1000</v>
      </c>
      <c r="M17" s="14" t="n">
        <v>1263</v>
      </c>
    </row>
    <row r="18" customFormat="false" ht="14.25" hidden="false" customHeight="false" outlineLevel="0" collapsed="false">
      <c r="A18" s="11" t="s">
        <v>258</v>
      </c>
      <c r="B18" s="2" t="s">
        <v>93</v>
      </c>
      <c r="C18" s="2" t="s">
        <v>94</v>
      </c>
      <c r="D18" s="2" t="s">
        <v>259</v>
      </c>
      <c r="E18" s="2" t="s">
        <v>260</v>
      </c>
      <c r="F18" s="2" t="s">
        <v>15</v>
      </c>
      <c r="G18" s="2" t="s">
        <v>189</v>
      </c>
      <c r="H18" s="2" t="s">
        <v>201</v>
      </c>
      <c r="I18" s="2" t="s">
        <v>261</v>
      </c>
      <c r="J18" s="2" t="s">
        <v>262</v>
      </c>
      <c r="K18" s="2"/>
      <c r="L18" s="2" t="n">
        <v>6000</v>
      </c>
      <c r="M18" s="12" t="n">
        <v>0</v>
      </c>
    </row>
    <row r="19" customFormat="false" ht="14.25" hidden="false" customHeight="false" outlineLevel="0" collapsed="false">
      <c r="A19" s="13" t="s">
        <v>263</v>
      </c>
      <c r="B19" s="4" t="s">
        <v>108</v>
      </c>
      <c r="C19" s="4" t="s">
        <v>109</v>
      </c>
      <c r="D19" s="4" t="s">
        <v>264</v>
      </c>
      <c r="E19" s="4" t="s">
        <v>238</v>
      </c>
      <c r="F19" s="4" t="s">
        <v>79</v>
      </c>
      <c r="G19" s="4" t="s">
        <v>206</v>
      </c>
      <c r="H19" s="4" t="s">
        <v>219</v>
      </c>
      <c r="I19" s="4" t="s">
        <v>265</v>
      </c>
      <c r="J19" s="4" t="s">
        <v>266</v>
      </c>
      <c r="K19" s="4" t="s">
        <v>267</v>
      </c>
      <c r="L19" s="4" t="n">
        <v>5000</v>
      </c>
      <c r="M19" s="14" t="n">
        <v>4772</v>
      </c>
    </row>
    <row r="20" customFormat="false" ht="14.25" hidden="false" customHeight="false" outlineLevel="0" collapsed="false">
      <c r="A20" s="11" t="s">
        <v>268</v>
      </c>
      <c r="B20" s="2" t="s">
        <v>93</v>
      </c>
      <c r="C20" s="2" t="s">
        <v>94</v>
      </c>
      <c r="D20" s="2" t="s">
        <v>269</v>
      </c>
      <c r="E20" s="2" t="s">
        <v>181</v>
      </c>
      <c r="F20" s="2" t="s">
        <v>26</v>
      </c>
      <c r="G20" s="2" t="s">
        <v>218</v>
      </c>
      <c r="H20" s="2" t="s">
        <v>249</v>
      </c>
      <c r="I20" s="2" t="s">
        <v>270</v>
      </c>
      <c r="J20" s="2" t="s">
        <v>271</v>
      </c>
      <c r="K20" s="2" t="s">
        <v>271</v>
      </c>
      <c r="L20" s="2" t="n">
        <v>1500</v>
      </c>
      <c r="M20" s="12" t="n">
        <v>1799</v>
      </c>
    </row>
    <row r="21" customFormat="false" ht="14.25" hidden="false" customHeight="false" outlineLevel="0" collapsed="false">
      <c r="A21" s="13" t="s">
        <v>272</v>
      </c>
      <c r="B21" s="4" t="s">
        <v>133</v>
      </c>
      <c r="C21" s="4" t="s">
        <v>134</v>
      </c>
      <c r="D21" s="4" t="s">
        <v>273</v>
      </c>
      <c r="E21" s="4" t="s">
        <v>274</v>
      </c>
      <c r="F21" s="4" t="s">
        <v>20</v>
      </c>
      <c r="G21" s="4" t="s">
        <v>275</v>
      </c>
      <c r="H21" s="4" t="s">
        <v>276</v>
      </c>
      <c r="I21" s="4" t="s">
        <v>277</v>
      </c>
      <c r="J21" s="4" t="s">
        <v>278</v>
      </c>
      <c r="K21" s="4"/>
      <c r="L21" s="4" t="n">
        <v>5000</v>
      </c>
      <c r="M21" s="14" t="n">
        <v>0</v>
      </c>
    </row>
    <row r="22" customFormat="false" ht="14.25" hidden="false" customHeight="false" outlineLevel="0" collapsed="false">
      <c r="A22" s="11" t="s">
        <v>279</v>
      </c>
      <c r="B22" s="2" t="s">
        <v>129</v>
      </c>
      <c r="C22" s="2" t="s">
        <v>130</v>
      </c>
      <c r="D22" s="2" t="s">
        <v>280</v>
      </c>
      <c r="E22" s="2" t="s">
        <v>225</v>
      </c>
      <c r="F22" s="2" t="s">
        <v>81</v>
      </c>
      <c r="G22" s="2" t="s">
        <v>169</v>
      </c>
      <c r="H22" s="2" t="s">
        <v>281</v>
      </c>
      <c r="I22" s="2" t="s">
        <v>282</v>
      </c>
      <c r="J22" s="2" t="s">
        <v>283</v>
      </c>
      <c r="K22" s="2" t="s">
        <v>284</v>
      </c>
      <c r="L22" s="2" t="n">
        <v>2500</v>
      </c>
      <c r="M22" s="12" t="n">
        <v>2216</v>
      </c>
    </row>
    <row r="23" customFormat="false" ht="14.25" hidden="false" customHeight="false" outlineLevel="0" collapsed="false">
      <c r="A23" s="13" t="s">
        <v>285</v>
      </c>
      <c r="B23" s="4"/>
      <c r="C23" s="4"/>
      <c r="D23" s="4" t="s">
        <v>286</v>
      </c>
      <c r="E23" s="4"/>
      <c r="F23" s="4"/>
      <c r="G23" s="4"/>
      <c r="H23" s="4"/>
      <c r="I23" s="4"/>
      <c r="J23" s="4"/>
      <c r="K23" s="4"/>
      <c r="L23" s="4"/>
      <c r="M23" s="14"/>
    </row>
    <row r="24" customFormat="false" ht="14.25" hidden="false" customHeight="false" outlineLevel="0" collapsed="false">
      <c r="A24" s="11" t="s">
        <v>287</v>
      </c>
      <c r="B24" s="2" t="s">
        <v>108</v>
      </c>
      <c r="C24" s="2" t="s">
        <v>109</v>
      </c>
      <c r="D24" s="2" t="s">
        <v>288</v>
      </c>
      <c r="E24" s="2" t="s">
        <v>161</v>
      </c>
      <c r="F24" s="2" t="s">
        <v>47</v>
      </c>
      <c r="G24" s="2" t="s">
        <v>289</v>
      </c>
      <c r="H24" s="2" t="s">
        <v>290</v>
      </c>
      <c r="I24" s="2" t="s">
        <v>291</v>
      </c>
      <c r="J24" s="2" t="s">
        <v>292</v>
      </c>
      <c r="K24" s="2" t="s">
        <v>293</v>
      </c>
      <c r="L24" s="2" t="n">
        <v>2000</v>
      </c>
      <c r="M24" s="12" t="n">
        <v>2594</v>
      </c>
    </row>
    <row r="25" customFormat="false" ht="14.25" hidden="false" customHeight="false" outlineLevel="0" collapsed="false">
      <c r="A25" s="13" t="s">
        <v>294</v>
      </c>
      <c r="B25" s="4" t="s">
        <v>129</v>
      </c>
      <c r="C25" s="4" t="s">
        <v>130</v>
      </c>
      <c r="D25" s="4" t="s">
        <v>295</v>
      </c>
      <c r="E25" s="4" t="s">
        <v>225</v>
      </c>
      <c r="F25" s="4" t="s">
        <v>47</v>
      </c>
      <c r="G25" s="4" t="s">
        <v>162</v>
      </c>
      <c r="H25" s="4" t="s">
        <v>207</v>
      </c>
      <c r="I25" s="4" t="s">
        <v>296</v>
      </c>
      <c r="J25" s="4" t="s">
        <v>297</v>
      </c>
      <c r="K25" s="4"/>
      <c r="L25" s="4" t="n">
        <v>8000</v>
      </c>
      <c r="M25" s="14" t="n">
        <v>0</v>
      </c>
    </row>
    <row r="26" customFormat="false" ht="14.25" hidden="false" customHeight="false" outlineLevel="0" collapsed="false">
      <c r="A26" s="11" t="s">
        <v>298</v>
      </c>
      <c r="B26" s="2" t="s">
        <v>136</v>
      </c>
      <c r="C26" s="2" t="s">
        <v>137</v>
      </c>
      <c r="D26" s="2" t="s">
        <v>299</v>
      </c>
      <c r="E26" s="2" t="s">
        <v>232</v>
      </c>
      <c r="F26" s="2" t="s">
        <v>47</v>
      </c>
      <c r="G26" s="2" t="s">
        <v>175</v>
      </c>
      <c r="H26" s="2" t="s">
        <v>249</v>
      </c>
      <c r="I26" s="2" t="s">
        <v>124</v>
      </c>
      <c r="J26" s="2" t="s">
        <v>300</v>
      </c>
      <c r="K26" s="2" t="s">
        <v>300</v>
      </c>
      <c r="L26" s="2" t="n">
        <v>1500</v>
      </c>
      <c r="M26" s="12" t="n">
        <v>1982</v>
      </c>
    </row>
    <row r="27" customFormat="false" ht="14.25" hidden="false" customHeight="false" outlineLevel="0" collapsed="false">
      <c r="A27" s="13" t="s">
        <v>301</v>
      </c>
      <c r="B27" s="4" t="s">
        <v>133</v>
      </c>
      <c r="C27" s="4" t="s">
        <v>134</v>
      </c>
      <c r="D27" s="4" t="s">
        <v>302</v>
      </c>
      <c r="E27" s="4" t="s">
        <v>44</v>
      </c>
      <c r="F27" s="4" t="s">
        <v>24</v>
      </c>
      <c r="G27" s="4" t="s">
        <v>218</v>
      </c>
      <c r="H27" s="4" t="s">
        <v>170</v>
      </c>
      <c r="I27" s="4" t="s">
        <v>303</v>
      </c>
      <c r="J27" s="4" t="s">
        <v>304</v>
      </c>
      <c r="K27" s="4"/>
      <c r="L27" s="4" t="n">
        <v>1500</v>
      </c>
      <c r="M27" s="14" t="n">
        <v>598</v>
      </c>
    </row>
    <row r="28" customFormat="false" ht="14.25" hidden="false" customHeight="false" outlineLevel="0" collapsed="false">
      <c r="A28" s="11" t="s">
        <v>305</v>
      </c>
      <c r="B28" s="2" t="s">
        <v>120</v>
      </c>
      <c r="C28" s="2" t="s">
        <v>121</v>
      </c>
      <c r="D28" s="2" t="s">
        <v>306</v>
      </c>
      <c r="E28" s="2" t="s">
        <v>76</v>
      </c>
      <c r="F28" s="2" t="s">
        <v>71</v>
      </c>
      <c r="G28" s="2" t="s">
        <v>200</v>
      </c>
      <c r="H28" s="2" t="s">
        <v>207</v>
      </c>
      <c r="I28" s="2" t="s">
        <v>307</v>
      </c>
      <c r="J28" s="2" t="s">
        <v>308</v>
      </c>
      <c r="K28" s="2"/>
      <c r="L28" s="2" t="n">
        <v>1000</v>
      </c>
      <c r="M28" s="12" t="n">
        <v>0</v>
      </c>
    </row>
    <row r="29" customFormat="false" ht="14.25" hidden="false" customHeight="false" outlineLevel="0" collapsed="false">
      <c r="A29" s="13" t="s">
        <v>309</v>
      </c>
      <c r="B29" s="4" t="s">
        <v>129</v>
      </c>
      <c r="C29" s="4" t="s">
        <v>130</v>
      </c>
      <c r="D29" s="4" t="s">
        <v>310</v>
      </c>
      <c r="E29" s="4" t="s">
        <v>254</v>
      </c>
      <c r="F29" s="4"/>
      <c r="G29" s="4" t="s">
        <v>275</v>
      </c>
      <c r="H29" s="4" t="s">
        <v>249</v>
      </c>
      <c r="I29" s="4" t="s">
        <v>311</v>
      </c>
      <c r="J29" s="4" t="s">
        <v>312</v>
      </c>
      <c r="K29" s="4" t="s">
        <v>312</v>
      </c>
      <c r="L29" s="4" t="n">
        <v>8000</v>
      </c>
      <c r="M29" s="14" t="n">
        <v>5874</v>
      </c>
    </row>
    <row r="30" customFormat="false" ht="14.25" hidden="false" customHeight="false" outlineLevel="0" collapsed="false">
      <c r="A30" s="11" t="s">
        <v>313</v>
      </c>
      <c r="B30" s="2" t="s">
        <v>103</v>
      </c>
      <c r="C30" s="2" t="s">
        <v>104</v>
      </c>
      <c r="D30" s="2" t="s">
        <v>314</v>
      </c>
      <c r="E30" s="2" t="s">
        <v>174</v>
      </c>
      <c r="F30" s="2" t="s">
        <v>10</v>
      </c>
      <c r="G30" s="2" t="s">
        <v>189</v>
      </c>
      <c r="H30" s="2" t="s">
        <v>281</v>
      </c>
      <c r="I30" s="2" t="s">
        <v>315</v>
      </c>
      <c r="J30" s="2" t="s">
        <v>316</v>
      </c>
      <c r="K30" s="2" t="s">
        <v>317</v>
      </c>
      <c r="L30" s="2"/>
      <c r="M30" s="12" t="n">
        <v>6098</v>
      </c>
    </row>
    <row r="31" customFormat="false" ht="14.25" hidden="false" customHeight="false" outlineLevel="0" collapsed="false">
      <c r="A31" s="13" t="s">
        <v>318</v>
      </c>
      <c r="B31" s="4" t="s">
        <v>112</v>
      </c>
      <c r="C31" s="4" t="s">
        <v>113</v>
      </c>
      <c r="D31" s="4" t="s">
        <v>319</v>
      </c>
      <c r="E31" s="4" t="s">
        <v>320</v>
      </c>
      <c r="F31" s="4" t="s">
        <v>40</v>
      </c>
      <c r="G31" s="4" t="s">
        <v>182</v>
      </c>
      <c r="H31" s="4" t="s">
        <v>281</v>
      </c>
      <c r="I31" s="4" t="s">
        <v>321</v>
      </c>
      <c r="J31" s="4" t="s">
        <v>322</v>
      </c>
      <c r="K31" s="4" t="s">
        <v>323</v>
      </c>
      <c r="L31" s="4" t="n">
        <v>10000</v>
      </c>
      <c r="M31" s="14" t="n">
        <v>12422</v>
      </c>
    </row>
    <row r="32" customFormat="false" ht="14.25" hidden="false" customHeight="false" outlineLevel="0" collapsed="false">
      <c r="A32" s="11" t="s">
        <v>324</v>
      </c>
      <c r="B32" s="2" t="s">
        <v>147</v>
      </c>
      <c r="C32" s="2" t="s">
        <v>148</v>
      </c>
      <c r="D32" s="2" t="s">
        <v>325</v>
      </c>
      <c r="E32" s="2" t="s">
        <v>217</v>
      </c>
      <c r="F32" s="2" t="s">
        <v>326</v>
      </c>
      <c r="G32" s="2" t="s">
        <v>289</v>
      </c>
      <c r="H32" s="2" t="s">
        <v>163</v>
      </c>
      <c r="I32" s="2" t="s">
        <v>165</v>
      </c>
      <c r="J32" s="2" t="s">
        <v>327</v>
      </c>
      <c r="K32" s="2" t="s">
        <v>191</v>
      </c>
      <c r="L32" s="2" t="n">
        <v>2000</v>
      </c>
      <c r="M32" s="12" t="n">
        <v>2297</v>
      </c>
    </row>
    <row r="33" customFormat="false" ht="14.25" hidden="false" customHeight="false" outlineLevel="0" collapsed="false">
      <c r="A33" s="13" t="s">
        <v>328</v>
      </c>
      <c r="B33" s="4" t="s">
        <v>98</v>
      </c>
      <c r="C33" s="4" t="s">
        <v>99</v>
      </c>
      <c r="D33" s="4" t="s">
        <v>329</v>
      </c>
      <c r="E33" s="4" t="s">
        <v>330</v>
      </c>
      <c r="F33" s="4" t="s">
        <v>81</v>
      </c>
      <c r="G33" s="4" t="s">
        <v>200</v>
      </c>
      <c r="H33" s="4" t="s">
        <v>290</v>
      </c>
      <c r="I33" s="4" t="s">
        <v>331</v>
      </c>
      <c r="J33" s="4" t="s">
        <v>332</v>
      </c>
      <c r="K33" s="4" t="s">
        <v>332</v>
      </c>
      <c r="L33" s="4" t="n">
        <v>1500</v>
      </c>
      <c r="M33" s="14" t="n">
        <v>1286</v>
      </c>
    </row>
    <row r="34" customFormat="false" ht="14.25" hidden="false" customHeight="false" outlineLevel="0" collapsed="false">
      <c r="A34" s="11" t="s">
        <v>333</v>
      </c>
      <c r="B34" s="2" t="s">
        <v>98</v>
      </c>
      <c r="C34" s="2" t="s">
        <v>99</v>
      </c>
      <c r="D34" s="2" t="s">
        <v>334</v>
      </c>
      <c r="E34" s="2" t="s">
        <v>335</v>
      </c>
      <c r="F34" s="2" t="s">
        <v>73</v>
      </c>
      <c r="G34" s="2" t="s">
        <v>169</v>
      </c>
      <c r="H34" s="2" t="s">
        <v>249</v>
      </c>
      <c r="I34" s="2" t="s">
        <v>336</v>
      </c>
      <c r="J34" s="2" t="s">
        <v>337</v>
      </c>
      <c r="K34" s="2" t="s">
        <v>190</v>
      </c>
      <c r="L34" s="2" t="n">
        <v>5000</v>
      </c>
      <c r="M34" s="12" t="n">
        <v>3653</v>
      </c>
    </row>
    <row r="35" customFormat="false" ht="14.25" hidden="false" customHeight="false" outlineLevel="0" collapsed="false">
      <c r="A35" s="13" t="s">
        <v>338</v>
      </c>
      <c r="B35" s="4" t="s">
        <v>103</v>
      </c>
      <c r="C35" s="4" t="s">
        <v>104</v>
      </c>
      <c r="D35" s="4" t="s">
        <v>339</v>
      </c>
      <c r="E35" s="4" t="s">
        <v>225</v>
      </c>
      <c r="F35" s="4" t="s">
        <v>40</v>
      </c>
      <c r="G35" s="4" t="s">
        <v>189</v>
      </c>
      <c r="H35" s="4" t="s">
        <v>281</v>
      </c>
      <c r="I35" s="4" t="s">
        <v>340</v>
      </c>
      <c r="J35" s="4" t="s">
        <v>341</v>
      </c>
      <c r="K35" s="4" t="s">
        <v>342</v>
      </c>
      <c r="L35" s="4" t="n">
        <v>1000</v>
      </c>
      <c r="M35" s="14" t="n">
        <v>1399</v>
      </c>
    </row>
    <row r="36" customFormat="false" ht="14.25" hidden="false" customHeight="false" outlineLevel="0" collapsed="false">
      <c r="A36" s="11" t="s">
        <v>343</v>
      </c>
      <c r="B36" s="2" t="s">
        <v>147</v>
      </c>
      <c r="C36" s="2" t="s">
        <v>148</v>
      </c>
      <c r="D36" s="2" t="s">
        <v>344</v>
      </c>
      <c r="E36" s="2" t="s">
        <v>7</v>
      </c>
      <c r="F36" s="2" t="s">
        <v>47</v>
      </c>
      <c r="G36" s="2" t="s">
        <v>226</v>
      </c>
      <c r="H36" s="2" t="s">
        <v>170</v>
      </c>
      <c r="I36" s="2" t="s">
        <v>345</v>
      </c>
      <c r="J36" s="2" t="s">
        <v>346</v>
      </c>
      <c r="K36" s="2"/>
      <c r="L36" s="2" t="n">
        <v>2500</v>
      </c>
      <c r="M36" s="12" t="n">
        <v>1606</v>
      </c>
    </row>
    <row r="37" customFormat="false" ht="14.25" hidden="false" customHeight="false" outlineLevel="0" collapsed="false">
      <c r="A37" s="13" t="s">
        <v>347</v>
      </c>
      <c r="B37" s="4" t="s">
        <v>88</v>
      </c>
      <c r="C37" s="4" t="s">
        <v>89</v>
      </c>
      <c r="D37" s="4" t="s">
        <v>348</v>
      </c>
      <c r="E37" s="4" t="s">
        <v>349</v>
      </c>
      <c r="F37" s="4" t="s">
        <v>37</v>
      </c>
      <c r="G37" s="4" t="s">
        <v>182</v>
      </c>
      <c r="H37" s="4" t="s">
        <v>194</v>
      </c>
      <c r="I37" s="4" t="s">
        <v>350</v>
      </c>
      <c r="J37" s="4" t="s">
        <v>351</v>
      </c>
      <c r="K37" s="4" t="s">
        <v>352</v>
      </c>
      <c r="L37" s="4" t="n">
        <v>1500</v>
      </c>
      <c r="M37" s="14" t="n">
        <v>1676</v>
      </c>
    </row>
    <row r="38" customFormat="false" ht="14.25" hidden="false" customHeight="false" outlineLevel="0" collapsed="false">
      <c r="A38" s="11" t="s">
        <v>353</v>
      </c>
      <c r="B38" s="2" t="s">
        <v>129</v>
      </c>
      <c r="C38" s="2" t="s">
        <v>130</v>
      </c>
      <c r="D38" s="2" t="s">
        <v>354</v>
      </c>
      <c r="E38" s="2" t="s">
        <v>7</v>
      </c>
      <c r="F38" s="2" t="s">
        <v>33</v>
      </c>
      <c r="G38" s="2" t="s">
        <v>275</v>
      </c>
      <c r="H38" s="2" t="s">
        <v>355</v>
      </c>
      <c r="I38" s="2" t="s">
        <v>356</v>
      </c>
      <c r="J38" s="2" t="s">
        <v>357</v>
      </c>
      <c r="K38" s="2"/>
      <c r="L38" s="2" t="n">
        <v>1000</v>
      </c>
      <c r="M38" s="12" t="n">
        <v>0</v>
      </c>
    </row>
    <row r="39" customFormat="false" ht="14.25" hidden="false" customHeight="false" outlineLevel="0" collapsed="false">
      <c r="A39" s="13" t="s">
        <v>358</v>
      </c>
      <c r="B39" s="4" t="s">
        <v>112</v>
      </c>
      <c r="C39" s="4" t="s">
        <v>113</v>
      </c>
      <c r="D39" s="4" t="s">
        <v>359</v>
      </c>
      <c r="E39" s="4" t="s">
        <v>217</v>
      </c>
      <c r="F39" s="4" t="s">
        <v>62</v>
      </c>
      <c r="G39" s="4" t="s">
        <v>189</v>
      </c>
      <c r="H39" s="4" t="s">
        <v>355</v>
      </c>
      <c r="I39" s="4" t="s">
        <v>360</v>
      </c>
      <c r="J39" s="4" t="s">
        <v>361</v>
      </c>
      <c r="K39" s="4"/>
      <c r="L39" s="4" t="n">
        <v>5000</v>
      </c>
      <c r="M39" s="14" t="n">
        <v>0</v>
      </c>
    </row>
    <row r="40" customFormat="false" ht="14.25" hidden="false" customHeight="false" outlineLevel="0" collapsed="false">
      <c r="A40" s="11" t="s">
        <v>362</v>
      </c>
      <c r="B40" s="2" t="s">
        <v>112</v>
      </c>
      <c r="C40" s="2" t="s">
        <v>113</v>
      </c>
      <c r="D40" s="2" t="s">
        <v>363</v>
      </c>
      <c r="E40" s="2" t="s">
        <v>364</v>
      </c>
      <c r="F40" s="2" t="s">
        <v>57</v>
      </c>
      <c r="G40" s="2" t="s">
        <v>200</v>
      </c>
      <c r="H40" s="2" t="s">
        <v>365</v>
      </c>
      <c r="I40" s="2" t="s">
        <v>366</v>
      </c>
      <c r="J40" s="2" t="s">
        <v>367</v>
      </c>
      <c r="K40" s="2" t="s">
        <v>368</v>
      </c>
      <c r="L40" s="2" t="n">
        <v>3000</v>
      </c>
      <c r="M40" s="12" t="n">
        <v>2512</v>
      </c>
    </row>
    <row r="41" customFormat="false" ht="14.25" hidden="false" customHeight="false" outlineLevel="0" collapsed="false">
      <c r="A41" s="13" t="s">
        <v>369</v>
      </c>
      <c r="B41" s="4" t="s">
        <v>129</v>
      </c>
      <c r="C41" s="4" t="s">
        <v>130</v>
      </c>
      <c r="D41" s="4" t="s">
        <v>370</v>
      </c>
      <c r="E41" s="4" t="s">
        <v>371</v>
      </c>
      <c r="F41" s="4" t="s">
        <v>24</v>
      </c>
      <c r="G41" s="4" t="s">
        <v>162</v>
      </c>
      <c r="H41" s="4" t="s">
        <v>176</v>
      </c>
      <c r="I41" s="4" t="s">
        <v>372</v>
      </c>
      <c r="J41" s="4" t="s">
        <v>346</v>
      </c>
      <c r="K41" s="4"/>
      <c r="L41" s="4" t="n">
        <v>3000</v>
      </c>
      <c r="M41" s="14" t="n">
        <v>1021</v>
      </c>
    </row>
    <row r="42" customFormat="false" ht="14.25" hidden="false" customHeight="false" outlineLevel="0" collapsed="false">
      <c r="A42" s="11" t="s">
        <v>373</v>
      </c>
      <c r="B42" s="2" t="s">
        <v>147</v>
      </c>
      <c r="C42" s="2" t="s">
        <v>148</v>
      </c>
      <c r="D42" s="2" t="s">
        <v>374</v>
      </c>
      <c r="E42" s="2" t="s">
        <v>161</v>
      </c>
      <c r="F42" s="2" t="s">
        <v>47</v>
      </c>
      <c r="G42" s="2" t="s">
        <v>218</v>
      </c>
      <c r="H42" s="2" t="s">
        <v>249</v>
      </c>
      <c r="I42" s="2" t="s">
        <v>375</v>
      </c>
      <c r="J42" s="2" t="s">
        <v>376</v>
      </c>
      <c r="K42" s="2" t="s">
        <v>228</v>
      </c>
      <c r="L42" s="2" t="n">
        <v>10000</v>
      </c>
      <c r="M42" s="12" t="n">
        <v>10647</v>
      </c>
    </row>
    <row r="43" customFormat="false" ht="14.25" hidden="false" customHeight="false" outlineLevel="0" collapsed="false">
      <c r="A43" s="13" t="s">
        <v>377</v>
      </c>
      <c r="B43" s="4" t="s">
        <v>125</v>
      </c>
      <c r="C43" s="4" t="s">
        <v>126</v>
      </c>
      <c r="D43" s="4" t="s">
        <v>378</v>
      </c>
      <c r="E43" s="4" t="s">
        <v>260</v>
      </c>
      <c r="F43" s="4" t="s">
        <v>33</v>
      </c>
      <c r="G43" s="4" t="s">
        <v>218</v>
      </c>
      <c r="H43" s="4" t="s">
        <v>212</v>
      </c>
      <c r="I43" s="4" t="s">
        <v>379</v>
      </c>
      <c r="J43" s="4" t="s">
        <v>380</v>
      </c>
      <c r="K43" s="4"/>
      <c r="L43" s="4" t="n">
        <v>2500</v>
      </c>
      <c r="M43" s="14" t="n">
        <v>1242</v>
      </c>
    </row>
    <row r="44" customFormat="false" ht="14.25" hidden="false" customHeight="false" outlineLevel="0" collapsed="false">
      <c r="A44" s="11" t="s">
        <v>381</v>
      </c>
      <c r="B44" s="2" t="s">
        <v>116</v>
      </c>
      <c r="C44" s="2" t="s">
        <v>117</v>
      </c>
      <c r="D44" s="2" t="s">
        <v>382</v>
      </c>
      <c r="E44" s="2" t="s">
        <v>7</v>
      </c>
      <c r="F44" s="2" t="s">
        <v>47</v>
      </c>
      <c r="G44" s="2" t="s">
        <v>175</v>
      </c>
      <c r="H44" s="2" t="s">
        <v>219</v>
      </c>
      <c r="I44" s="2" t="s">
        <v>383</v>
      </c>
      <c r="J44" s="2" t="s">
        <v>384</v>
      </c>
      <c r="K44" s="2" t="s">
        <v>385</v>
      </c>
      <c r="L44" s="2" t="n">
        <v>1500</v>
      </c>
      <c r="M44" s="12" t="n">
        <v>1674</v>
      </c>
    </row>
    <row r="45" customFormat="false" ht="14.25" hidden="false" customHeight="false" outlineLevel="0" collapsed="false">
      <c r="A45" s="13" t="s">
        <v>386</v>
      </c>
      <c r="B45" s="4" t="s">
        <v>133</v>
      </c>
      <c r="C45" s="4" t="s">
        <v>134</v>
      </c>
      <c r="D45" s="4" t="s">
        <v>387</v>
      </c>
      <c r="E45" s="4" t="s">
        <v>34</v>
      </c>
      <c r="F45" s="4" t="s">
        <v>26</v>
      </c>
      <c r="G45" s="4" t="s">
        <v>275</v>
      </c>
      <c r="H45" s="4" t="s">
        <v>176</v>
      </c>
      <c r="I45" s="4" t="s">
        <v>388</v>
      </c>
      <c r="J45" s="4" t="s">
        <v>389</v>
      </c>
      <c r="K45" s="4"/>
      <c r="L45" s="4" t="n">
        <v>1000</v>
      </c>
      <c r="M45" s="14" t="n">
        <v>359</v>
      </c>
    </row>
    <row r="46" customFormat="false" ht="14.25" hidden="false" customHeight="false" outlineLevel="0" collapsed="false">
      <c r="A46" s="11" t="s">
        <v>390</v>
      </c>
      <c r="B46" s="2" t="s">
        <v>125</v>
      </c>
      <c r="C46" s="2" t="s">
        <v>126</v>
      </c>
      <c r="D46" s="2" t="s">
        <v>391</v>
      </c>
      <c r="E46" s="2" t="s">
        <v>392</v>
      </c>
      <c r="F46" s="2" t="s">
        <v>40</v>
      </c>
      <c r="G46" s="2" t="s">
        <v>189</v>
      </c>
      <c r="H46" s="2" t="s">
        <v>201</v>
      </c>
      <c r="I46" s="2" t="s">
        <v>393</v>
      </c>
      <c r="J46" s="2" t="s">
        <v>394</v>
      </c>
      <c r="K46" s="2"/>
      <c r="L46" s="2" t="n">
        <v>2000</v>
      </c>
      <c r="M46" s="12" t="n">
        <v>0</v>
      </c>
    </row>
    <row r="47" customFormat="false" ht="14.25" hidden="false" customHeight="false" outlineLevel="0" collapsed="false">
      <c r="A47" s="13" t="s">
        <v>395</v>
      </c>
      <c r="B47" s="4" t="s">
        <v>125</v>
      </c>
      <c r="C47" s="4" t="s">
        <v>126</v>
      </c>
      <c r="D47" s="4" t="s">
        <v>396</v>
      </c>
      <c r="E47" s="4" t="s">
        <v>217</v>
      </c>
      <c r="F47" s="4" t="s">
        <v>33</v>
      </c>
      <c r="G47" s="4" t="s">
        <v>200</v>
      </c>
      <c r="H47" s="4" t="s">
        <v>239</v>
      </c>
      <c r="I47" s="4" t="s">
        <v>397</v>
      </c>
      <c r="J47" s="4" t="s">
        <v>398</v>
      </c>
      <c r="K47" s="4" t="s">
        <v>399</v>
      </c>
      <c r="L47" s="4" t="n">
        <v>6000</v>
      </c>
      <c r="M47" s="14" t="n">
        <v>8191</v>
      </c>
    </row>
    <row r="48" customFormat="false" ht="14.25" hidden="false" customHeight="false" outlineLevel="0" collapsed="false">
      <c r="A48" s="11" t="s">
        <v>400</v>
      </c>
      <c r="B48" s="2" t="s">
        <v>129</v>
      </c>
      <c r="C48" s="2" t="s">
        <v>130</v>
      </c>
      <c r="D48" s="2" t="s">
        <v>401</v>
      </c>
      <c r="E48" s="2" t="s">
        <v>54</v>
      </c>
      <c r="F48" s="2" t="s">
        <v>50</v>
      </c>
      <c r="G48" s="2" t="s">
        <v>175</v>
      </c>
      <c r="H48" s="2" t="s">
        <v>244</v>
      </c>
      <c r="I48" s="2" t="s">
        <v>402</v>
      </c>
      <c r="J48" s="2" t="s">
        <v>403</v>
      </c>
      <c r="K48" s="2"/>
      <c r="L48" s="2" t="n">
        <v>8000</v>
      </c>
      <c r="M48" s="12" t="n">
        <v>3329</v>
      </c>
    </row>
    <row r="49" customFormat="false" ht="14.25" hidden="false" customHeight="false" outlineLevel="0" collapsed="false">
      <c r="A49" s="13" t="s">
        <v>404</v>
      </c>
      <c r="B49" s="4" t="s">
        <v>116</v>
      </c>
      <c r="C49" s="4" t="s">
        <v>117</v>
      </c>
      <c r="D49" s="4" t="s">
        <v>405</v>
      </c>
      <c r="E49" s="4" t="s">
        <v>406</v>
      </c>
      <c r="F49" s="4" t="s">
        <v>62</v>
      </c>
      <c r="G49" s="4" t="s">
        <v>189</v>
      </c>
      <c r="H49" s="4" t="s">
        <v>212</v>
      </c>
      <c r="I49" s="4" t="s">
        <v>407</v>
      </c>
      <c r="J49" s="4" t="s">
        <v>408</v>
      </c>
      <c r="K49" s="4"/>
      <c r="L49" s="4" t="n">
        <v>10000</v>
      </c>
      <c r="M49" s="14" t="n">
        <v>3913</v>
      </c>
    </row>
    <row r="50" customFormat="false" ht="14.25" hidden="false" customHeight="false" outlineLevel="0" collapsed="false">
      <c r="A50" s="11" t="s">
        <v>409</v>
      </c>
      <c r="B50" s="2" t="s">
        <v>98</v>
      </c>
      <c r="C50" s="2" t="s">
        <v>99</v>
      </c>
      <c r="D50" s="2" t="s">
        <v>410</v>
      </c>
      <c r="E50" s="2" t="s">
        <v>411</v>
      </c>
      <c r="F50" s="2" t="s">
        <v>37</v>
      </c>
      <c r="G50" s="2" t="s">
        <v>206</v>
      </c>
      <c r="H50" s="2" t="s">
        <v>412</v>
      </c>
      <c r="I50" s="2" t="s">
        <v>413</v>
      </c>
      <c r="J50" s="2" t="s">
        <v>414</v>
      </c>
      <c r="K50" s="2" t="s">
        <v>415</v>
      </c>
      <c r="L50" s="2" t="n">
        <v>8000</v>
      </c>
      <c r="M50" s="12" t="n">
        <v>6292</v>
      </c>
    </row>
    <row r="51" customFormat="false" ht="14.25" hidden="false" customHeight="false" outlineLevel="0" collapsed="false">
      <c r="A51" s="13" t="s">
        <v>416</v>
      </c>
      <c r="B51" s="4" t="s">
        <v>103</v>
      </c>
      <c r="C51" s="4" t="s">
        <v>104</v>
      </c>
      <c r="D51" s="4" t="s">
        <v>417</v>
      </c>
      <c r="E51" s="4" t="s">
        <v>349</v>
      </c>
      <c r="F51" s="4" t="s">
        <v>73</v>
      </c>
      <c r="G51" s="4" t="s">
        <v>169</v>
      </c>
      <c r="H51" s="4" t="s">
        <v>276</v>
      </c>
      <c r="I51" s="4" t="s">
        <v>418</v>
      </c>
      <c r="J51" s="4" t="s">
        <v>419</v>
      </c>
      <c r="K51" s="4"/>
      <c r="L51" s="4" t="n">
        <v>1500</v>
      </c>
      <c r="M51" s="14" t="n">
        <v>0</v>
      </c>
    </row>
    <row r="52" customFormat="false" ht="14.25" hidden="false" customHeight="false" outlineLevel="0" collapsed="false">
      <c r="A52" s="11" t="s">
        <v>420</v>
      </c>
      <c r="B52" s="2" t="s">
        <v>108</v>
      </c>
      <c r="C52" s="2" t="s">
        <v>109</v>
      </c>
      <c r="D52" s="2" t="s">
        <v>421</v>
      </c>
      <c r="E52" s="2" t="s">
        <v>34</v>
      </c>
      <c r="F52" s="2" t="s">
        <v>18</v>
      </c>
      <c r="G52" s="2" t="s">
        <v>175</v>
      </c>
      <c r="H52" s="2" t="s">
        <v>281</v>
      </c>
      <c r="I52" s="2" t="s">
        <v>422</v>
      </c>
      <c r="J52" s="2" t="s">
        <v>423</v>
      </c>
      <c r="K52" s="2" t="s">
        <v>424</v>
      </c>
      <c r="L52" s="2" t="n">
        <v>2000</v>
      </c>
      <c r="M52" s="12" t="n">
        <v>2236</v>
      </c>
    </row>
    <row r="53" customFormat="false" ht="14.25" hidden="false" customHeight="false" outlineLevel="0" collapsed="false">
      <c r="A53" s="13" t="s">
        <v>425</v>
      </c>
      <c r="B53" s="4" t="s">
        <v>93</v>
      </c>
      <c r="C53" s="4" t="s">
        <v>94</v>
      </c>
      <c r="D53" s="4" t="s">
        <v>205</v>
      </c>
      <c r="E53" s="4" t="s">
        <v>63</v>
      </c>
      <c r="F53" s="4" t="s">
        <v>81</v>
      </c>
      <c r="G53" s="4" t="s">
        <v>200</v>
      </c>
      <c r="H53" s="4" t="s">
        <v>227</v>
      </c>
      <c r="I53" s="4" t="s">
        <v>426</v>
      </c>
      <c r="J53" s="4" t="s">
        <v>427</v>
      </c>
      <c r="K53" s="4"/>
      <c r="L53" s="4" t="n">
        <v>3000</v>
      </c>
      <c r="M53" s="14" t="n">
        <v>2365</v>
      </c>
    </row>
    <row r="54" customFormat="false" ht="14.25" hidden="false" customHeight="false" outlineLevel="0" collapsed="false">
      <c r="A54" s="11" t="s">
        <v>428</v>
      </c>
      <c r="B54" s="2" t="s">
        <v>140</v>
      </c>
      <c r="C54" s="2" t="s">
        <v>141</v>
      </c>
      <c r="D54" s="2" t="s">
        <v>429</v>
      </c>
      <c r="E54" s="2" t="s">
        <v>364</v>
      </c>
      <c r="F54" s="2" t="s">
        <v>430</v>
      </c>
      <c r="G54" s="2" t="s">
        <v>189</v>
      </c>
      <c r="H54" s="2" t="s">
        <v>281</v>
      </c>
      <c r="I54" s="2" t="s">
        <v>431</v>
      </c>
      <c r="J54" s="2" t="s">
        <v>432</v>
      </c>
      <c r="K54" s="2" t="s">
        <v>432</v>
      </c>
      <c r="L54" s="2" t="n">
        <v>5000</v>
      </c>
      <c r="M54" s="12" t="n">
        <v>5016</v>
      </c>
    </row>
    <row r="55" customFormat="false" ht="14.25" hidden="false" customHeight="false" outlineLevel="0" collapsed="false">
      <c r="A55" s="13" t="s">
        <v>433</v>
      </c>
      <c r="B55" s="4" t="s">
        <v>103</v>
      </c>
      <c r="C55" s="4" t="s">
        <v>104</v>
      </c>
      <c r="D55" s="4" t="s">
        <v>231</v>
      </c>
      <c r="E55" s="4" t="s">
        <v>76</v>
      </c>
      <c r="F55" s="4" t="s">
        <v>47</v>
      </c>
      <c r="G55" s="4" t="s">
        <v>434</v>
      </c>
      <c r="H55" s="4" t="s">
        <v>412</v>
      </c>
      <c r="I55" s="4" t="s">
        <v>435</v>
      </c>
      <c r="J55" s="4" t="s">
        <v>436</v>
      </c>
      <c r="K55" s="4" t="s">
        <v>437</v>
      </c>
      <c r="L55" s="4" t="n">
        <v>5000</v>
      </c>
      <c r="M55" s="14" t="n">
        <v>4686</v>
      </c>
    </row>
    <row r="56" customFormat="false" ht="14.25" hidden="false" customHeight="false" outlineLevel="0" collapsed="false">
      <c r="A56" s="11" t="s">
        <v>438</v>
      </c>
      <c r="B56" s="2" t="s">
        <v>129</v>
      </c>
      <c r="C56" s="2" t="s">
        <v>130</v>
      </c>
      <c r="D56" s="2" t="s">
        <v>439</v>
      </c>
      <c r="E56" s="2" t="s">
        <v>181</v>
      </c>
      <c r="F56" s="2" t="s">
        <v>60</v>
      </c>
      <c r="G56" s="2" t="s">
        <v>162</v>
      </c>
      <c r="H56" s="2" t="s">
        <v>244</v>
      </c>
      <c r="I56" s="2" t="s">
        <v>422</v>
      </c>
      <c r="J56" s="2" t="s">
        <v>440</v>
      </c>
      <c r="K56" s="2"/>
      <c r="L56" s="2" t="n">
        <v>4000</v>
      </c>
      <c r="M56" s="12" t="n">
        <v>3074</v>
      </c>
    </row>
    <row r="57" customFormat="false" ht="14.25" hidden="false" customHeight="false" outlineLevel="0" collapsed="false">
      <c r="A57" s="13" t="s">
        <v>441</v>
      </c>
      <c r="B57" s="4" t="s">
        <v>140</v>
      </c>
      <c r="C57" s="4" t="s">
        <v>141</v>
      </c>
      <c r="D57" s="4" t="s">
        <v>442</v>
      </c>
      <c r="E57" s="4" t="s">
        <v>7</v>
      </c>
      <c r="F57" s="4" t="s">
        <v>15</v>
      </c>
      <c r="G57" s="4" t="s">
        <v>169</v>
      </c>
      <c r="H57" s="4" t="s">
        <v>219</v>
      </c>
      <c r="I57" s="4" t="s">
        <v>443</v>
      </c>
      <c r="J57" s="4" t="s">
        <v>444</v>
      </c>
      <c r="K57" s="4" t="s">
        <v>445</v>
      </c>
      <c r="L57" s="4" t="n">
        <v>5000</v>
      </c>
      <c r="M57" s="14" t="n">
        <v>6706</v>
      </c>
    </row>
    <row r="58" customFormat="false" ht="14.25" hidden="false" customHeight="false" outlineLevel="0" collapsed="false">
      <c r="A58" s="11" t="s">
        <v>446</v>
      </c>
      <c r="B58" s="2" t="s">
        <v>136</v>
      </c>
      <c r="C58" s="2" t="s">
        <v>137</v>
      </c>
      <c r="D58" s="2" t="s">
        <v>447</v>
      </c>
      <c r="E58" s="2" t="s">
        <v>21</v>
      </c>
      <c r="F58" s="2" t="s">
        <v>73</v>
      </c>
      <c r="G58" s="2" t="s">
        <v>206</v>
      </c>
      <c r="H58" s="2" t="s">
        <v>281</v>
      </c>
      <c r="I58" s="2" t="s">
        <v>278</v>
      </c>
      <c r="J58" s="2" t="s">
        <v>448</v>
      </c>
      <c r="K58" s="2" t="s">
        <v>449</v>
      </c>
      <c r="L58" s="2" t="n">
        <v>1500</v>
      </c>
      <c r="M58" s="12" t="n">
        <v>2080</v>
      </c>
    </row>
    <row r="59" customFormat="false" ht="14.25" hidden="false" customHeight="false" outlineLevel="0" collapsed="false">
      <c r="A59" s="13" t="s">
        <v>450</v>
      </c>
      <c r="B59" s="4" t="s">
        <v>98</v>
      </c>
      <c r="C59" s="4" t="s">
        <v>99</v>
      </c>
      <c r="D59" s="4" t="s">
        <v>451</v>
      </c>
      <c r="E59" s="4" t="s">
        <v>335</v>
      </c>
      <c r="F59" s="4" t="s">
        <v>26</v>
      </c>
      <c r="G59" s="4" t="s">
        <v>226</v>
      </c>
      <c r="H59" s="4" t="s">
        <v>244</v>
      </c>
      <c r="I59" s="4" t="s">
        <v>452</v>
      </c>
      <c r="J59" s="4" t="s">
        <v>453</v>
      </c>
      <c r="K59" s="4"/>
      <c r="L59" s="4" t="n">
        <v>3000</v>
      </c>
      <c r="M59" s="14" t="n">
        <v>647</v>
      </c>
    </row>
    <row r="60" customFormat="false" ht="14.25" hidden="false" customHeight="false" outlineLevel="0" collapsed="false">
      <c r="A60" s="11" t="s">
        <v>454</v>
      </c>
      <c r="B60" s="2" t="s">
        <v>133</v>
      </c>
      <c r="C60" s="2" t="s">
        <v>134</v>
      </c>
      <c r="D60" s="2" t="s">
        <v>280</v>
      </c>
      <c r="E60" s="2" t="s">
        <v>371</v>
      </c>
      <c r="F60" s="2" t="s">
        <v>62</v>
      </c>
      <c r="G60" s="2" t="s">
        <v>218</v>
      </c>
      <c r="H60" s="2" t="s">
        <v>219</v>
      </c>
      <c r="I60" s="2" t="s">
        <v>360</v>
      </c>
      <c r="J60" s="2" t="s">
        <v>361</v>
      </c>
      <c r="K60" s="2" t="s">
        <v>455</v>
      </c>
      <c r="L60" s="2" t="n">
        <v>8000</v>
      </c>
      <c r="M60" s="12" t="n">
        <v>9484</v>
      </c>
    </row>
    <row r="61" customFormat="false" ht="14.25" hidden="false" customHeight="false" outlineLevel="0" collapsed="false">
      <c r="A61" s="13" t="s">
        <v>456</v>
      </c>
      <c r="B61" s="4" t="s">
        <v>143</v>
      </c>
      <c r="C61" s="4" t="s">
        <v>144</v>
      </c>
      <c r="D61" s="4" t="s">
        <v>457</v>
      </c>
      <c r="E61" s="4" t="s">
        <v>458</v>
      </c>
      <c r="F61" s="4" t="s">
        <v>81</v>
      </c>
      <c r="G61" s="4" t="s">
        <v>434</v>
      </c>
      <c r="H61" s="4" t="s">
        <v>249</v>
      </c>
      <c r="I61" s="4" t="s">
        <v>459</v>
      </c>
      <c r="J61" s="4" t="s">
        <v>460</v>
      </c>
      <c r="K61" s="4" t="s">
        <v>460</v>
      </c>
      <c r="L61" s="4" t="n">
        <v>4000</v>
      </c>
      <c r="M61" s="14" t="n">
        <v>4446</v>
      </c>
    </row>
    <row r="62" customFormat="false" ht="14.25" hidden="false" customHeight="false" outlineLevel="0" collapsed="false">
      <c r="A62" s="11" t="s">
        <v>461</v>
      </c>
      <c r="B62" s="2" t="s">
        <v>143</v>
      </c>
      <c r="C62" s="2" t="s">
        <v>144</v>
      </c>
      <c r="D62" s="2" t="s">
        <v>462</v>
      </c>
      <c r="E62" s="2" t="s">
        <v>463</v>
      </c>
      <c r="F62" s="2" t="s">
        <v>81</v>
      </c>
      <c r="G62" s="2" t="s">
        <v>175</v>
      </c>
      <c r="H62" s="2" t="s">
        <v>170</v>
      </c>
      <c r="I62" s="2" t="s">
        <v>464</v>
      </c>
      <c r="J62" s="2" t="s">
        <v>465</v>
      </c>
      <c r="K62" s="2"/>
      <c r="L62" s="2" t="n">
        <v>8000</v>
      </c>
      <c r="M62" s="12" t="n">
        <v>2966</v>
      </c>
    </row>
    <row r="63" customFormat="false" ht="14.25" hidden="false" customHeight="false" outlineLevel="0" collapsed="false">
      <c r="A63" s="13" t="s">
        <v>466</v>
      </c>
      <c r="B63" s="4" t="s">
        <v>103</v>
      </c>
      <c r="C63" s="4" t="s">
        <v>104</v>
      </c>
      <c r="D63" s="4" t="s">
        <v>467</v>
      </c>
      <c r="E63" s="4" t="s">
        <v>217</v>
      </c>
      <c r="F63" s="4" t="s">
        <v>15</v>
      </c>
      <c r="G63" s="4" t="s">
        <v>162</v>
      </c>
      <c r="H63" s="4" t="s">
        <v>219</v>
      </c>
      <c r="I63" s="4" t="s">
        <v>468</v>
      </c>
      <c r="J63" s="4" t="s">
        <v>469</v>
      </c>
      <c r="K63" s="4" t="s">
        <v>470</v>
      </c>
      <c r="L63" s="4" t="n">
        <v>1500</v>
      </c>
      <c r="M63" s="14" t="n">
        <v>1412</v>
      </c>
    </row>
    <row r="64" customFormat="false" ht="14.25" hidden="false" customHeight="false" outlineLevel="0" collapsed="false">
      <c r="A64" s="11" t="s">
        <v>471</v>
      </c>
      <c r="B64" s="2"/>
      <c r="C64" s="2"/>
      <c r="D64" s="2" t="s">
        <v>286</v>
      </c>
      <c r="E64" s="2"/>
      <c r="F64" s="2"/>
      <c r="G64" s="2"/>
      <c r="H64" s="2"/>
      <c r="I64" s="2"/>
      <c r="J64" s="2"/>
      <c r="K64" s="2"/>
      <c r="L64" s="2"/>
      <c r="M64" s="12"/>
    </row>
    <row r="65" customFormat="false" ht="14.25" hidden="false" customHeight="false" outlineLevel="0" collapsed="false">
      <c r="A65" s="13" t="s">
        <v>472</v>
      </c>
      <c r="B65" s="4" t="s">
        <v>143</v>
      </c>
      <c r="C65" s="4" t="s">
        <v>144</v>
      </c>
      <c r="D65" s="4" t="s">
        <v>473</v>
      </c>
      <c r="E65" s="4" t="s">
        <v>232</v>
      </c>
      <c r="F65" s="4" t="s">
        <v>29</v>
      </c>
      <c r="G65" s="4" t="s">
        <v>162</v>
      </c>
      <c r="H65" s="4" t="s">
        <v>163</v>
      </c>
      <c r="I65" s="4" t="s">
        <v>474</v>
      </c>
      <c r="J65" s="4" t="s">
        <v>475</v>
      </c>
      <c r="K65" s="4" t="s">
        <v>476</v>
      </c>
      <c r="L65" s="4" t="n">
        <v>1500</v>
      </c>
      <c r="M65" s="14" t="n">
        <v>1497</v>
      </c>
    </row>
    <row r="66" customFormat="false" ht="14.25" hidden="false" customHeight="false" outlineLevel="0" collapsed="false">
      <c r="A66" s="11" t="s">
        <v>477</v>
      </c>
      <c r="B66" s="2" t="s">
        <v>147</v>
      </c>
      <c r="C66" s="2" t="s">
        <v>148</v>
      </c>
      <c r="D66" s="2" t="s">
        <v>478</v>
      </c>
      <c r="E66" s="2" t="s">
        <v>161</v>
      </c>
      <c r="F66" s="2" t="s">
        <v>75</v>
      </c>
      <c r="G66" s="2" t="s">
        <v>243</v>
      </c>
      <c r="H66" s="2" t="s">
        <v>281</v>
      </c>
      <c r="I66" s="2" t="s">
        <v>479</v>
      </c>
      <c r="J66" s="2" t="s">
        <v>480</v>
      </c>
      <c r="K66" s="2" t="s">
        <v>481</v>
      </c>
      <c r="L66" s="2" t="n">
        <v>3000</v>
      </c>
      <c r="M66" s="12" t="n">
        <v>2936</v>
      </c>
    </row>
    <row r="67" customFormat="false" ht="14.25" hidden="false" customHeight="false" outlineLevel="0" collapsed="false">
      <c r="A67" s="13" t="s">
        <v>482</v>
      </c>
      <c r="B67" s="4" t="s">
        <v>140</v>
      </c>
      <c r="C67" s="4" t="s">
        <v>141</v>
      </c>
      <c r="D67" s="4" t="s">
        <v>483</v>
      </c>
      <c r="E67" s="4" t="s">
        <v>411</v>
      </c>
      <c r="F67" s="4" t="s">
        <v>12</v>
      </c>
      <c r="G67" s="4" t="s">
        <v>434</v>
      </c>
      <c r="H67" s="4" t="s">
        <v>249</v>
      </c>
      <c r="I67" s="4" t="s">
        <v>240</v>
      </c>
      <c r="J67" s="4" t="s">
        <v>484</v>
      </c>
      <c r="K67" s="4" t="s">
        <v>484</v>
      </c>
      <c r="L67" s="4" t="n">
        <v>2000</v>
      </c>
      <c r="M67" s="14" t="n">
        <v>2777</v>
      </c>
    </row>
    <row r="68" customFormat="false" ht="14.25" hidden="false" customHeight="false" outlineLevel="0" collapsed="false">
      <c r="A68" s="11" t="s">
        <v>485</v>
      </c>
      <c r="B68" s="2" t="s">
        <v>88</v>
      </c>
      <c r="C68" s="2" t="s">
        <v>89</v>
      </c>
      <c r="D68" s="2" t="s">
        <v>486</v>
      </c>
      <c r="E68" s="2" t="s">
        <v>54</v>
      </c>
      <c r="F68" s="2" t="s">
        <v>20</v>
      </c>
      <c r="G68" s="2" t="s">
        <v>226</v>
      </c>
      <c r="H68" s="2" t="s">
        <v>365</v>
      </c>
      <c r="I68" s="2" t="s">
        <v>487</v>
      </c>
      <c r="J68" s="2" t="s">
        <v>488</v>
      </c>
      <c r="K68" s="2" t="s">
        <v>489</v>
      </c>
      <c r="L68" s="2" t="n">
        <v>5000</v>
      </c>
      <c r="M68" s="12" t="n">
        <v>6659</v>
      </c>
    </row>
    <row r="69" customFormat="false" ht="14.25" hidden="false" customHeight="false" outlineLevel="0" collapsed="false">
      <c r="A69" s="13" t="s">
        <v>490</v>
      </c>
      <c r="B69" s="4" t="s">
        <v>147</v>
      </c>
      <c r="C69" s="4" t="s">
        <v>148</v>
      </c>
      <c r="D69" s="4" t="s">
        <v>491</v>
      </c>
      <c r="E69" s="4" t="s">
        <v>181</v>
      </c>
      <c r="F69" s="4" t="s">
        <v>12</v>
      </c>
      <c r="G69" s="4" t="s">
        <v>289</v>
      </c>
      <c r="H69" s="4" t="s">
        <v>170</v>
      </c>
      <c r="I69" s="4" t="s">
        <v>492</v>
      </c>
      <c r="J69" s="4" t="s">
        <v>493</v>
      </c>
      <c r="K69" s="4"/>
      <c r="L69" s="4" t="n">
        <v>1500</v>
      </c>
      <c r="M69" s="14" t="n">
        <v>408</v>
      </c>
    </row>
    <row r="70" customFormat="false" ht="14.25" hidden="false" customHeight="false" outlineLevel="0" collapsed="false">
      <c r="A70" s="11" t="s">
        <v>494</v>
      </c>
      <c r="B70" s="2" t="s">
        <v>88</v>
      </c>
      <c r="C70" s="2" t="s">
        <v>89</v>
      </c>
      <c r="D70" s="2" t="s">
        <v>168</v>
      </c>
      <c r="E70" s="2" t="s">
        <v>174</v>
      </c>
      <c r="F70" s="2"/>
      <c r="G70" s="2" t="s">
        <v>218</v>
      </c>
      <c r="H70" s="2" t="s">
        <v>244</v>
      </c>
      <c r="I70" s="2" t="s">
        <v>495</v>
      </c>
      <c r="J70" s="2" t="s">
        <v>496</v>
      </c>
      <c r="K70" s="2"/>
      <c r="L70" s="2" t="n">
        <v>3000</v>
      </c>
      <c r="M70" s="12" t="n">
        <v>992</v>
      </c>
    </row>
    <row r="71" customFormat="false" ht="14.25" hidden="false" customHeight="false" outlineLevel="0" collapsed="false">
      <c r="A71" s="13" t="s">
        <v>497</v>
      </c>
      <c r="B71" s="4" t="s">
        <v>143</v>
      </c>
      <c r="C71" s="4" t="s">
        <v>144</v>
      </c>
      <c r="D71" s="4" t="s">
        <v>498</v>
      </c>
      <c r="E71" s="4" t="s">
        <v>181</v>
      </c>
      <c r="F71" s="4" t="s">
        <v>62</v>
      </c>
      <c r="G71" s="4" t="s">
        <v>189</v>
      </c>
      <c r="H71" s="4" t="s">
        <v>290</v>
      </c>
      <c r="I71" s="4" t="s">
        <v>499</v>
      </c>
      <c r="J71" s="4" t="s">
        <v>500</v>
      </c>
      <c r="K71" s="4" t="s">
        <v>501</v>
      </c>
      <c r="L71" s="4" t="n">
        <v>6000</v>
      </c>
      <c r="M71" s="14" t="n">
        <v>6093</v>
      </c>
    </row>
    <row r="72" customFormat="false" ht="14.25" hidden="false" customHeight="false" outlineLevel="0" collapsed="false">
      <c r="A72" s="11" t="s">
        <v>502</v>
      </c>
      <c r="B72" s="2" t="s">
        <v>140</v>
      </c>
      <c r="C72" s="2" t="s">
        <v>141</v>
      </c>
      <c r="D72" s="2" t="s">
        <v>503</v>
      </c>
      <c r="E72" s="2" t="s">
        <v>260</v>
      </c>
      <c r="F72" s="2" t="s">
        <v>10</v>
      </c>
      <c r="G72" s="2" t="s">
        <v>200</v>
      </c>
      <c r="H72" s="2" t="s">
        <v>219</v>
      </c>
      <c r="I72" s="2" t="s">
        <v>504</v>
      </c>
      <c r="J72" s="2" t="s">
        <v>505</v>
      </c>
      <c r="K72" s="2" t="s">
        <v>505</v>
      </c>
      <c r="L72" s="2" t="n">
        <v>1000</v>
      </c>
      <c r="M72" s="12" t="n">
        <v>1071</v>
      </c>
    </row>
    <row r="73" customFormat="false" ht="14.25" hidden="false" customHeight="false" outlineLevel="0" collapsed="false">
      <c r="A73" s="13" t="s">
        <v>506</v>
      </c>
      <c r="B73" s="4" t="s">
        <v>133</v>
      </c>
      <c r="C73" s="4" t="s">
        <v>134</v>
      </c>
      <c r="D73" s="4" t="s">
        <v>507</v>
      </c>
      <c r="E73" s="4" t="s">
        <v>463</v>
      </c>
      <c r="F73" s="4" t="s">
        <v>43</v>
      </c>
      <c r="G73" s="4" t="s">
        <v>169</v>
      </c>
      <c r="H73" s="4" t="s">
        <v>194</v>
      </c>
      <c r="I73" s="4" t="s">
        <v>508</v>
      </c>
      <c r="J73" s="4" t="s">
        <v>509</v>
      </c>
      <c r="K73" s="4" t="s">
        <v>510</v>
      </c>
      <c r="L73" s="4" t="n">
        <v>4000</v>
      </c>
      <c r="M73" s="14" t="n">
        <v>3554</v>
      </c>
    </row>
    <row r="74" customFormat="false" ht="14.25" hidden="false" customHeight="false" outlineLevel="0" collapsed="false">
      <c r="A74" s="11" t="s">
        <v>511</v>
      </c>
      <c r="B74" s="2" t="s">
        <v>129</v>
      </c>
      <c r="C74" s="2" t="s">
        <v>130</v>
      </c>
      <c r="D74" s="2" t="s">
        <v>512</v>
      </c>
      <c r="E74" s="2" t="s">
        <v>335</v>
      </c>
      <c r="F74" s="2" t="s">
        <v>20</v>
      </c>
      <c r="G74" s="2" t="s">
        <v>206</v>
      </c>
      <c r="H74" s="2" t="s">
        <v>219</v>
      </c>
      <c r="I74" s="2" t="s">
        <v>513</v>
      </c>
      <c r="J74" s="2" t="s">
        <v>514</v>
      </c>
      <c r="K74" s="2" t="s">
        <v>514</v>
      </c>
      <c r="L74" s="2" t="n">
        <v>2000</v>
      </c>
      <c r="M74" s="12" t="n">
        <v>1896</v>
      </c>
    </row>
    <row r="75" customFormat="false" ht="14.25" hidden="false" customHeight="false" outlineLevel="0" collapsed="false">
      <c r="A75" s="13" t="s">
        <v>515</v>
      </c>
      <c r="B75" s="4" t="s">
        <v>129</v>
      </c>
      <c r="C75" s="4" t="s">
        <v>130</v>
      </c>
      <c r="D75" s="4" t="s">
        <v>516</v>
      </c>
      <c r="E75" s="4" t="s">
        <v>238</v>
      </c>
      <c r="F75" s="4" t="s">
        <v>37</v>
      </c>
      <c r="G75" s="4" t="s">
        <v>434</v>
      </c>
      <c r="H75" s="4" t="s">
        <v>517</v>
      </c>
      <c r="I75" s="4" t="s">
        <v>518</v>
      </c>
      <c r="J75" s="4" t="s">
        <v>519</v>
      </c>
      <c r="K75" s="4"/>
      <c r="L75" s="4" t="n">
        <v>8000</v>
      </c>
      <c r="M75" s="14" t="n">
        <v>0</v>
      </c>
    </row>
    <row r="76" customFormat="false" ht="14.25" hidden="false" customHeight="false" outlineLevel="0" collapsed="false">
      <c r="A76" s="11" t="s">
        <v>520</v>
      </c>
      <c r="B76" s="2" t="s">
        <v>125</v>
      </c>
      <c r="C76" s="2" t="s">
        <v>126</v>
      </c>
      <c r="D76" s="2" t="s">
        <v>521</v>
      </c>
      <c r="E76" s="2"/>
      <c r="F76" s="2" t="s">
        <v>24</v>
      </c>
      <c r="G76" s="2" t="s">
        <v>206</v>
      </c>
      <c r="H76" s="2" t="s">
        <v>170</v>
      </c>
      <c r="I76" s="2" t="s">
        <v>522</v>
      </c>
      <c r="J76" s="2" t="s">
        <v>523</v>
      </c>
      <c r="K76" s="2"/>
      <c r="L76" s="2" t="n">
        <v>1500</v>
      </c>
      <c r="M76" s="12" t="n">
        <v>312</v>
      </c>
    </row>
    <row r="77" customFormat="false" ht="14.25" hidden="false" customHeight="false" outlineLevel="0" collapsed="false">
      <c r="A77" s="13" t="s">
        <v>524</v>
      </c>
      <c r="B77" s="4" t="s">
        <v>98</v>
      </c>
      <c r="C77" s="4" t="s">
        <v>99</v>
      </c>
      <c r="D77" s="4" t="s">
        <v>525</v>
      </c>
      <c r="E77" s="4" t="s">
        <v>392</v>
      </c>
      <c r="F77" s="4" t="s">
        <v>50</v>
      </c>
      <c r="G77" s="4" t="s">
        <v>182</v>
      </c>
      <c r="H77" s="4" t="s">
        <v>219</v>
      </c>
      <c r="I77" s="4" t="s">
        <v>526</v>
      </c>
      <c r="J77" s="4" t="s">
        <v>527</v>
      </c>
      <c r="K77" s="4" t="s">
        <v>197</v>
      </c>
      <c r="L77" s="4" t="n">
        <v>6000</v>
      </c>
      <c r="M77" s="14" t="n">
        <v>8270</v>
      </c>
    </row>
    <row r="78" customFormat="false" ht="14.25" hidden="false" customHeight="false" outlineLevel="0" collapsed="false">
      <c r="A78" s="11" t="s">
        <v>528</v>
      </c>
      <c r="B78" s="2" t="s">
        <v>133</v>
      </c>
      <c r="C78" s="2" t="s">
        <v>134</v>
      </c>
      <c r="D78" s="2" t="s">
        <v>529</v>
      </c>
      <c r="E78" s="2" t="s">
        <v>371</v>
      </c>
      <c r="F78" s="2" t="s">
        <v>66</v>
      </c>
      <c r="G78" s="2" t="s">
        <v>226</v>
      </c>
      <c r="H78" s="2" t="s">
        <v>290</v>
      </c>
      <c r="I78" s="2" t="s">
        <v>530</v>
      </c>
      <c r="J78" s="2" t="s">
        <v>531</v>
      </c>
      <c r="K78" s="2" t="s">
        <v>531</v>
      </c>
      <c r="L78" s="2" t="n">
        <v>2500</v>
      </c>
      <c r="M78" s="12" t="n">
        <v>3495</v>
      </c>
    </row>
    <row r="79" customFormat="false" ht="14.25" hidden="false" customHeight="false" outlineLevel="0" collapsed="false">
      <c r="A79" s="13" t="s">
        <v>369</v>
      </c>
      <c r="B79" s="4" t="s">
        <v>129</v>
      </c>
      <c r="C79" s="4" t="s">
        <v>130</v>
      </c>
      <c r="D79" s="4" t="s">
        <v>370</v>
      </c>
      <c r="E79" s="4" t="s">
        <v>371</v>
      </c>
      <c r="F79" s="4" t="s">
        <v>24</v>
      </c>
      <c r="G79" s="4" t="s">
        <v>162</v>
      </c>
      <c r="H79" s="4" t="s">
        <v>176</v>
      </c>
      <c r="I79" s="4" t="s">
        <v>372</v>
      </c>
      <c r="J79" s="4" t="s">
        <v>346</v>
      </c>
      <c r="K79" s="4"/>
      <c r="L79" s="4" t="n">
        <v>3000</v>
      </c>
      <c r="M79" s="14" t="n">
        <v>1021</v>
      </c>
    </row>
    <row r="80" customFormat="false" ht="14.25" hidden="false" customHeight="false" outlineLevel="0" collapsed="false">
      <c r="A80" s="11" t="s">
        <v>532</v>
      </c>
      <c r="B80" s="2" t="s">
        <v>129</v>
      </c>
      <c r="C80" s="2" t="s">
        <v>130</v>
      </c>
      <c r="D80" s="2" t="s">
        <v>533</v>
      </c>
      <c r="E80" s="2" t="s">
        <v>54</v>
      </c>
      <c r="F80" s="2" t="s">
        <v>40</v>
      </c>
      <c r="G80" s="2" t="s">
        <v>275</v>
      </c>
      <c r="H80" s="2" t="s">
        <v>244</v>
      </c>
      <c r="I80" s="2" t="s">
        <v>534</v>
      </c>
      <c r="J80" s="2" t="s">
        <v>535</v>
      </c>
      <c r="K80" s="2"/>
      <c r="L80" s="2" t="n">
        <v>1000</v>
      </c>
      <c r="M80" s="12" t="n">
        <v>483</v>
      </c>
    </row>
    <row r="81" customFormat="false" ht="14.25" hidden="false" customHeight="false" outlineLevel="0" collapsed="false">
      <c r="A81" s="13" t="s">
        <v>536</v>
      </c>
      <c r="B81" s="4" t="s">
        <v>147</v>
      </c>
      <c r="C81" s="4" t="s">
        <v>148</v>
      </c>
      <c r="D81" s="4" t="s">
        <v>537</v>
      </c>
      <c r="E81" s="4" t="s">
        <v>34</v>
      </c>
      <c r="F81" s="4" t="s">
        <v>73</v>
      </c>
      <c r="G81" s="4" t="s">
        <v>162</v>
      </c>
      <c r="H81" s="4" t="s">
        <v>290</v>
      </c>
      <c r="I81" s="4" t="s">
        <v>538</v>
      </c>
      <c r="J81" s="4" t="s">
        <v>539</v>
      </c>
      <c r="K81" s="4" t="s">
        <v>540</v>
      </c>
      <c r="L81" s="4" t="n">
        <v>3000</v>
      </c>
      <c r="M81" s="14" t="n">
        <v>2484</v>
      </c>
    </row>
    <row r="82" customFormat="false" ht="14.25" hidden="false" customHeight="false" outlineLevel="0" collapsed="false">
      <c r="A82" s="11" t="s">
        <v>541</v>
      </c>
      <c r="B82" s="2" t="s">
        <v>120</v>
      </c>
      <c r="C82" s="2" t="s">
        <v>121</v>
      </c>
      <c r="D82" s="2" t="s">
        <v>542</v>
      </c>
      <c r="E82" s="2" t="s">
        <v>217</v>
      </c>
      <c r="F82" s="2" t="s">
        <v>62</v>
      </c>
      <c r="G82" s="2" t="s">
        <v>206</v>
      </c>
      <c r="H82" s="2" t="s">
        <v>281</v>
      </c>
      <c r="I82" s="2" t="s">
        <v>543</v>
      </c>
      <c r="J82" s="2" t="s">
        <v>544</v>
      </c>
      <c r="K82" s="2" t="s">
        <v>545</v>
      </c>
      <c r="L82" s="2" t="n">
        <v>8000</v>
      </c>
      <c r="M82" s="12" t="n">
        <v>6121</v>
      </c>
    </row>
    <row r="83" customFormat="false" ht="14.25" hidden="false" customHeight="false" outlineLevel="0" collapsed="false">
      <c r="A83" s="13" t="s">
        <v>546</v>
      </c>
      <c r="B83" s="4" t="s">
        <v>112</v>
      </c>
      <c r="C83" s="4" t="s">
        <v>113</v>
      </c>
      <c r="D83" s="4" t="s">
        <v>547</v>
      </c>
      <c r="E83" s="4" t="s">
        <v>63</v>
      </c>
      <c r="F83" s="4" t="s">
        <v>6</v>
      </c>
      <c r="G83" s="4" t="s">
        <v>169</v>
      </c>
      <c r="H83" s="4" t="s">
        <v>281</v>
      </c>
      <c r="I83" s="4" t="s">
        <v>548</v>
      </c>
      <c r="J83" s="4" t="s">
        <v>296</v>
      </c>
      <c r="K83" s="4" t="s">
        <v>171</v>
      </c>
      <c r="L83" s="4" t="n">
        <v>1000</v>
      </c>
      <c r="M83" s="14" t="n">
        <v>1278</v>
      </c>
    </row>
    <row r="84" customFormat="false" ht="14.25" hidden="false" customHeight="false" outlineLevel="0" collapsed="false">
      <c r="A84" s="11" t="s">
        <v>549</v>
      </c>
      <c r="B84" s="2" t="s">
        <v>143</v>
      </c>
      <c r="C84" s="2" t="s">
        <v>144</v>
      </c>
      <c r="D84" s="2" t="s">
        <v>550</v>
      </c>
      <c r="E84" s="2" t="s">
        <v>335</v>
      </c>
      <c r="F84" s="2" t="s">
        <v>53</v>
      </c>
      <c r="G84" s="2" t="s">
        <v>226</v>
      </c>
      <c r="H84" s="2" t="s">
        <v>365</v>
      </c>
      <c r="I84" s="2" t="s">
        <v>551</v>
      </c>
      <c r="J84" s="2" t="s">
        <v>552</v>
      </c>
      <c r="K84" s="2" t="s">
        <v>553</v>
      </c>
      <c r="L84" s="2" t="n">
        <v>2000</v>
      </c>
      <c r="M84" s="12" t="n">
        <v>2272</v>
      </c>
    </row>
    <row r="85" customFormat="false" ht="14.25" hidden="false" customHeight="false" outlineLevel="0" collapsed="false">
      <c r="A85" s="13" t="s">
        <v>554</v>
      </c>
      <c r="B85" s="4" t="s">
        <v>116</v>
      </c>
      <c r="C85" s="4" t="s">
        <v>117</v>
      </c>
      <c r="D85" s="4" t="s">
        <v>555</v>
      </c>
      <c r="E85" s="4" t="s">
        <v>371</v>
      </c>
      <c r="F85" s="4" t="s">
        <v>33</v>
      </c>
      <c r="G85" s="4" t="s">
        <v>218</v>
      </c>
      <c r="H85" s="4" t="s">
        <v>355</v>
      </c>
      <c r="I85" s="4" t="s">
        <v>556</v>
      </c>
      <c r="J85" s="4" t="s">
        <v>557</v>
      </c>
      <c r="K85" s="4"/>
      <c r="L85" s="4" t="n">
        <v>2500</v>
      </c>
      <c r="M85" s="14" t="n">
        <v>0</v>
      </c>
    </row>
    <row r="86" customFormat="false" ht="14.25" hidden="false" customHeight="false" outlineLevel="0" collapsed="false">
      <c r="A86" s="11" t="s">
        <v>558</v>
      </c>
      <c r="B86" s="2" t="s">
        <v>103</v>
      </c>
      <c r="C86" s="2" t="s">
        <v>104</v>
      </c>
      <c r="D86" s="2" t="s">
        <v>559</v>
      </c>
      <c r="E86" s="2" t="s">
        <v>44</v>
      </c>
      <c r="F86" s="2" t="s">
        <v>15</v>
      </c>
      <c r="G86" s="2" t="s">
        <v>169</v>
      </c>
      <c r="H86" s="2" t="s">
        <v>276</v>
      </c>
      <c r="I86" s="2" t="s">
        <v>560</v>
      </c>
      <c r="J86" s="2" t="s">
        <v>561</v>
      </c>
      <c r="K86" s="2"/>
      <c r="L86" s="2" t="n">
        <v>4000</v>
      </c>
      <c r="M86" s="12" t="n">
        <v>0</v>
      </c>
    </row>
    <row r="87" customFormat="false" ht="14.25" hidden="false" customHeight="false" outlineLevel="0" collapsed="false">
      <c r="A87" s="13" t="s">
        <v>562</v>
      </c>
      <c r="B87" s="4" t="s">
        <v>112</v>
      </c>
      <c r="C87" s="4" t="s">
        <v>113</v>
      </c>
      <c r="D87" s="4" t="s">
        <v>563</v>
      </c>
      <c r="E87" s="4" t="s">
        <v>349</v>
      </c>
      <c r="F87" s="4" t="s">
        <v>26</v>
      </c>
      <c r="G87" s="4" t="s">
        <v>434</v>
      </c>
      <c r="H87" s="4" t="s">
        <v>355</v>
      </c>
      <c r="I87" s="4" t="s">
        <v>564</v>
      </c>
      <c r="J87" s="4" t="s">
        <v>423</v>
      </c>
      <c r="K87" s="4"/>
      <c r="L87" s="4" t="n">
        <v>8000</v>
      </c>
      <c r="M87" s="14" t="n">
        <v>0</v>
      </c>
    </row>
    <row r="88" customFormat="false" ht="14.25" hidden="false" customHeight="false" outlineLevel="0" collapsed="false">
      <c r="A88" s="11" t="s">
        <v>565</v>
      </c>
      <c r="B88" s="2" t="s">
        <v>143</v>
      </c>
      <c r="C88" s="2" t="s">
        <v>144</v>
      </c>
      <c r="D88" s="2" t="s">
        <v>566</v>
      </c>
      <c r="E88" s="2" t="s">
        <v>174</v>
      </c>
      <c r="F88" s="2" t="s">
        <v>71</v>
      </c>
      <c r="G88" s="2" t="s">
        <v>175</v>
      </c>
      <c r="H88" s="2" t="s">
        <v>212</v>
      </c>
      <c r="I88" s="2" t="s">
        <v>361</v>
      </c>
      <c r="J88" s="2" t="s">
        <v>567</v>
      </c>
      <c r="K88" s="2"/>
      <c r="L88" s="2" t="n">
        <v>5000</v>
      </c>
      <c r="M88" s="12" t="n">
        <v>2964</v>
      </c>
    </row>
    <row r="89" customFormat="false" ht="14.25" hidden="false" customHeight="false" outlineLevel="0" collapsed="false">
      <c r="A89" s="13" t="s">
        <v>568</v>
      </c>
      <c r="B89" s="4" t="s">
        <v>98</v>
      </c>
      <c r="C89" s="4" t="s">
        <v>99</v>
      </c>
      <c r="D89" s="4" t="s">
        <v>569</v>
      </c>
      <c r="E89" s="4" t="s">
        <v>44</v>
      </c>
      <c r="F89" s="4"/>
      <c r="G89" s="4" t="s">
        <v>226</v>
      </c>
      <c r="H89" s="4" t="s">
        <v>355</v>
      </c>
      <c r="I89" s="4" t="s">
        <v>570</v>
      </c>
      <c r="J89" s="4" t="s">
        <v>571</v>
      </c>
      <c r="K89" s="4"/>
      <c r="L89" s="4" t="n">
        <v>8000</v>
      </c>
      <c r="M89" s="14"/>
    </row>
    <row r="90" customFormat="false" ht="14.25" hidden="false" customHeight="false" outlineLevel="0" collapsed="false">
      <c r="A90" s="11" t="s">
        <v>572</v>
      </c>
      <c r="B90" s="2" t="s">
        <v>93</v>
      </c>
      <c r="C90" s="2" t="s">
        <v>94</v>
      </c>
      <c r="D90" s="2" t="s">
        <v>573</v>
      </c>
      <c r="E90" s="2" t="s">
        <v>225</v>
      </c>
      <c r="F90" s="2" t="s">
        <v>43</v>
      </c>
      <c r="G90" s="2" t="s">
        <v>289</v>
      </c>
      <c r="H90" s="2" t="s">
        <v>207</v>
      </c>
      <c r="I90" s="2" t="s">
        <v>574</v>
      </c>
      <c r="J90" s="2" t="s">
        <v>575</v>
      </c>
      <c r="K90" s="2"/>
      <c r="L90" s="2" t="n">
        <v>8000</v>
      </c>
      <c r="M90" s="12" t="n">
        <v>0</v>
      </c>
    </row>
    <row r="91" customFormat="false" ht="14.25" hidden="false" customHeight="false" outlineLevel="0" collapsed="false">
      <c r="A91" s="13" t="s">
        <v>576</v>
      </c>
      <c r="B91" s="4" t="s">
        <v>140</v>
      </c>
      <c r="C91" s="4" t="s">
        <v>141</v>
      </c>
      <c r="D91" s="4" t="s">
        <v>457</v>
      </c>
      <c r="E91" s="4" t="s">
        <v>406</v>
      </c>
      <c r="F91" s="4" t="s">
        <v>62</v>
      </c>
      <c r="G91" s="4" t="s">
        <v>226</v>
      </c>
      <c r="H91" s="4" t="s">
        <v>170</v>
      </c>
      <c r="I91" s="4" t="s">
        <v>577</v>
      </c>
      <c r="J91" s="4" t="s">
        <v>578</v>
      </c>
      <c r="K91" s="4"/>
      <c r="L91" s="4" t="n">
        <v>5000</v>
      </c>
      <c r="M91" s="14" t="n">
        <v>2256</v>
      </c>
    </row>
    <row r="92" customFormat="false" ht="14.25" hidden="false" customHeight="false" outlineLevel="0" collapsed="false">
      <c r="A92" s="11" t="s">
        <v>579</v>
      </c>
      <c r="B92" s="2" t="s">
        <v>98</v>
      </c>
      <c r="C92" s="2" t="s">
        <v>99</v>
      </c>
      <c r="D92" s="2" t="s">
        <v>188</v>
      </c>
      <c r="E92" s="2" t="s">
        <v>34</v>
      </c>
      <c r="F92" s="2" t="s">
        <v>79</v>
      </c>
      <c r="G92" s="2" t="s">
        <v>218</v>
      </c>
      <c r="H92" s="2" t="s">
        <v>176</v>
      </c>
      <c r="I92" s="2" t="s">
        <v>580</v>
      </c>
      <c r="J92" s="2" t="s">
        <v>581</v>
      </c>
      <c r="K92" s="2"/>
      <c r="L92" s="2" t="n">
        <v>2500</v>
      </c>
      <c r="M92" s="12" t="n">
        <v>1886</v>
      </c>
    </row>
    <row r="93" customFormat="false" ht="14.25" hidden="false" customHeight="false" outlineLevel="0" collapsed="false">
      <c r="A93" s="13" t="s">
        <v>582</v>
      </c>
      <c r="B93" s="4" t="s">
        <v>140</v>
      </c>
      <c r="C93" s="4" t="s">
        <v>141</v>
      </c>
      <c r="D93" s="4" t="s">
        <v>583</v>
      </c>
      <c r="E93" s="4" t="s">
        <v>349</v>
      </c>
      <c r="F93" s="4" t="s">
        <v>20</v>
      </c>
      <c r="G93" s="4" t="s">
        <v>289</v>
      </c>
      <c r="H93" s="4" t="s">
        <v>281</v>
      </c>
      <c r="I93" s="4" t="s">
        <v>584</v>
      </c>
      <c r="J93" s="4" t="s">
        <v>585</v>
      </c>
      <c r="K93" s="4" t="s">
        <v>452</v>
      </c>
      <c r="L93" s="4" t="n">
        <v>4000</v>
      </c>
      <c r="M93" s="14" t="n">
        <v>4271</v>
      </c>
    </row>
    <row r="94" customFormat="false" ht="14.25" hidden="false" customHeight="false" outlineLevel="0" collapsed="false">
      <c r="A94" s="11" t="s">
        <v>586</v>
      </c>
      <c r="B94" s="2" t="s">
        <v>133</v>
      </c>
      <c r="C94" s="2" t="s">
        <v>134</v>
      </c>
      <c r="D94" s="2" t="s">
        <v>587</v>
      </c>
      <c r="E94" s="2" t="s">
        <v>458</v>
      </c>
      <c r="F94" s="2" t="s">
        <v>73</v>
      </c>
      <c r="G94" s="2" t="s">
        <v>275</v>
      </c>
      <c r="H94" s="2" t="s">
        <v>244</v>
      </c>
      <c r="I94" s="2" t="s">
        <v>588</v>
      </c>
      <c r="J94" s="2" t="s">
        <v>589</v>
      </c>
      <c r="K94" s="2"/>
      <c r="L94" s="2" t="n">
        <v>4000</v>
      </c>
      <c r="M94" s="12" t="n">
        <v>2434</v>
      </c>
    </row>
    <row r="95" customFormat="false" ht="14.25" hidden="false" customHeight="false" outlineLevel="0" collapsed="false">
      <c r="A95" s="13" t="s">
        <v>590</v>
      </c>
      <c r="B95" s="4" t="s">
        <v>116</v>
      </c>
      <c r="C95" s="4" t="s">
        <v>117</v>
      </c>
      <c r="D95" s="4" t="s">
        <v>591</v>
      </c>
      <c r="E95" s="4" t="s">
        <v>174</v>
      </c>
      <c r="F95" s="4" t="s">
        <v>60</v>
      </c>
      <c r="G95" s="4" t="s">
        <v>275</v>
      </c>
      <c r="H95" s="4" t="s">
        <v>355</v>
      </c>
      <c r="I95" s="4" t="s">
        <v>592</v>
      </c>
      <c r="J95" s="4" t="s">
        <v>574</v>
      </c>
      <c r="K95" s="4"/>
      <c r="L95" s="4" t="n">
        <v>2500</v>
      </c>
      <c r="M95" s="14" t="n">
        <v>0</v>
      </c>
    </row>
    <row r="96" customFormat="false" ht="14.25" hidden="false" customHeight="false" outlineLevel="0" collapsed="false">
      <c r="A96" s="11" t="s">
        <v>593</v>
      </c>
      <c r="B96" s="2" t="s">
        <v>140</v>
      </c>
      <c r="C96" s="2" t="s">
        <v>141</v>
      </c>
      <c r="D96" s="2" t="s">
        <v>594</v>
      </c>
      <c r="E96" s="2" t="s">
        <v>181</v>
      </c>
      <c r="F96" s="2" t="s">
        <v>69</v>
      </c>
      <c r="G96" s="2" t="s">
        <v>226</v>
      </c>
      <c r="H96" s="2" t="s">
        <v>355</v>
      </c>
      <c r="I96" s="2" t="s">
        <v>595</v>
      </c>
      <c r="J96" s="2" t="s">
        <v>596</v>
      </c>
      <c r="K96" s="2"/>
      <c r="L96" s="2" t="n">
        <v>3000</v>
      </c>
      <c r="M96" s="12" t="n">
        <v>0</v>
      </c>
    </row>
    <row r="97" customFormat="false" ht="14.25" hidden="false" customHeight="false" outlineLevel="0" collapsed="false">
      <c r="A97" s="13" t="s">
        <v>597</v>
      </c>
      <c r="B97" s="4" t="s">
        <v>112</v>
      </c>
      <c r="C97" s="4" t="s">
        <v>113</v>
      </c>
      <c r="D97" s="4" t="s">
        <v>598</v>
      </c>
      <c r="E97" s="4"/>
      <c r="F97" s="4" t="s">
        <v>40</v>
      </c>
      <c r="G97" s="4" t="s">
        <v>169</v>
      </c>
      <c r="H97" s="4" t="s">
        <v>207</v>
      </c>
      <c r="I97" s="4" t="s">
        <v>599</v>
      </c>
      <c r="J97" s="4" t="s">
        <v>600</v>
      </c>
      <c r="K97" s="4"/>
      <c r="L97" s="4" t="n">
        <v>3000</v>
      </c>
      <c r="M97" s="14" t="n">
        <v>0</v>
      </c>
    </row>
    <row r="98" customFormat="false" ht="14.25" hidden="false" customHeight="false" outlineLevel="0" collapsed="false">
      <c r="A98" s="11" t="s">
        <v>601</v>
      </c>
      <c r="B98" s="2" t="s">
        <v>136</v>
      </c>
      <c r="C98" s="2" t="s">
        <v>137</v>
      </c>
      <c r="D98" s="2" t="s">
        <v>602</v>
      </c>
      <c r="E98" s="2" t="s">
        <v>320</v>
      </c>
      <c r="F98" s="2" t="s">
        <v>6</v>
      </c>
      <c r="G98" s="2" t="s">
        <v>169</v>
      </c>
      <c r="H98" s="2" t="s">
        <v>227</v>
      </c>
      <c r="I98" s="2" t="s">
        <v>603</v>
      </c>
      <c r="J98" s="2" t="s">
        <v>604</v>
      </c>
      <c r="K98" s="2"/>
      <c r="L98" s="2" t="n">
        <v>2000</v>
      </c>
      <c r="M98" s="12" t="n">
        <v>653</v>
      </c>
    </row>
    <row r="99" customFormat="false" ht="14.25" hidden="false" customHeight="false" outlineLevel="0" collapsed="false">
      <c r="A99" s="13" t="s">
        <v>605</v>
      </c>
      <c r="B99" s="4" t="s">
        <v>116</v>
      </c>
      <c r="C99" s="4" t="s">
        <v>117</v>
      </c>
      <c r="D99" s="4" t="s">
        <v>606</v>
      </c>
      <c r="E99" s="4" t="s">
        <v>161</v>
      </c>
      <c r="F99" s="4"/>
      <c r="G99" s="4" t="s">
        <v>218</v>
      </c>
      <c r="H99" s="4" t="s">
        <v>281</v>
      </c>
      <c r="I99" s="4" t="s">
        <v>607</v>
      </c>
      <c r="J99" s="4" t="s">
        <v>608</v>
      </c>
      <c r="K99" s="4" t="s">
        <v>609</v>
      </c>
      <c r="L99" s="4" t="n">
        <v>6000</v>
      </c>
      <c r="M99" s="14" t="n">
        <v>5346</v>
      </c>
    </row>
    <row r="100" customFormat="false" ht="14.25" hidden="false" customHeight="false" outlineLevel="0" collapsed="false">
      <c r="A100" s="11" t="s">
        <v>610</v>
      </c>
      <c r="B100" s="2" t="s">
        <v>140</v>
      </c>
      <c r="C100" s="2" t="s">
        <v>141</v>
      </c>
      <c r="D100" s="2" t="s">
        <v>611</v>
      </c>
      <c r="E100" s="2" t="s">
        <v>238</v>
      </c>
      <c r="F100" s="2" t="s">
        <v>73</v>
      </c>
      <c r="G100" s="2" t="s">
        <v>189</v>
      </c>
      <c r="H100" s="2" t="s">
        <v>244</v>
      </c>
      <c r="I100" s="2" t="s">
        <v>612</v>
      </c>
      <c r="J100" s="2" t="s">
        <v>613</v>
      </c>
      <c r="K100" s="2"/>
      <c r="L100" s="2" t="n">
        <v>10000</v>
      </c>
      <c r="M100" s="12" t="n">
        <v>7208</v>
      </c>
    </row>
    <row r="101" customFormat="false" ht="14.25" hidden="false" customHeight="false" outlineLevel="0" collapsed="false">
      <c r="A101" s="13" t="s">
        <v>614</v>
      </c>
      <c r="B101" s="4" t="s">
        <v>93</v>
      </c>
      <c r="C101" s="4" t="s">
        <v>94</v>
      </c>
      <c r="D101" s="4" t="s">
        <v>615</v>
      </c>
      <c r="E101" s="4" t="s">
        <v>63</v>
      </c>
      <c r="F101" s="4" t="s">
        <v>71</v>
      </c>
      <c r="G101" s="4" t="s">
        <v>162</v>
      </c>
      <c r="H101" s="4" t="s">
        <v>290</v>
      </c>
      <c r="I101" s="4" t="s">
        <v>616</v>
      </c>
      <c r="J101" s="4" t="s">
        <v>617</v>
      </c>
      <c r="K101" s="4" t="s">
        <v>618</v>
      </c>
      <c r="L101" s="4" t="n">
        <v>10000</v>
      </c>
      <c r="M101" s="14" t="n">
        <v>13746</v>
      </c>
    </row>
    <row r="102" customFormat="false" ht="14.25" hidden="false" customHeight="false" outlineLevel="0" collapsed="false">
      <c r="A102" s="11" t="s">
        <v>619</v>
      </c>
      <c r="B102" s="2" t="s">
        <v>93</v>
      </c>
      <c r="C102" s="2" t="s">
        <v>94</v>
      </c>
      <c r="D102" s="2" t="s">
        <v>620</v>
      </c>
      <c r="E102" s="2" t="s">
        <v>330</v>
      </c>
      <c r="F102" s="2" t="s">
        <v>43</v>
      </c>
      <c r="G102" s="2" t="s">
        <v>243</v>
      </c>
      <c r="H102" s="2" t="s">
        <v>239</v>
      </c>
      <c r="I102" s="2" t="s">
        <v>621</v>
      </c>
      <c r="J102" s="2" t="s">
        <v>622</v>
      </c>
      <c r="K102" s="2" t="s">
        <v>623</v>
      </c>
      <c r="L102" s="2" t="n">
        <v>6000</v>
      </c>
      <c r="M102" s="12" t="n">
        <v>7171</v>
      </c>
    </row>
    <row r="103" customFormat="false" ht="14.25" hidden="false" customHeight="false" outlineLevel="0" collapsed="false">
      <c r="A103" s="13" t="s">
        <v>624</v>
      </c>
      <c r="B103" s="4" t="s">
        <v>103</v>
      </c>
      <c r="C103" s="4" t="s">
        <v>104</v>
      </c>
      <c r="D103" s="4" t="s">
        <v>421</v>
      </c>
      <c r="E103" s="4" t="s">
        <v>217</v>
      </c>
      <c r="F103" s="4" t="s">
        <v>625</v>
      </c>
      <c r="G103" s="4" t="s">
        <v>162</v>
      </c>
      <c r="H103" s="4" t="s">
        <v>290</v>
      </c>
      <c r="I103" s="4" t="s">
        <v>626</v>
      </c>
      <c r="J103" s="4" t="s">
        <v>627</v>
      </c>
      <c r="K103" s="4" t="s">
        <v>628</v>
      </c>
      <c r="L103" s="4" t="n">
        <v>10000</v>
      </c>
      <c r="M103" s="14" t="n">
        <v>7595</v>
      </c>
    </row>
    <row r="104" customFormat="false" ht="14.25" hidden="false" customHeight="false" outlineLevel="0" collapsed="false">
      <c r="A104" s="11" t="s">
        <v>629</v>
      </c>
      <c r="B104" s="2" t="s">
        <v>120</v>
      </c>
      <c r="C104" s="2" t="s">
        <v>121</v>
      </c>
      <c r="D104" s="2" t="s">
        <v>630</v>
      </c>
      <c r="E104" s="2" t="s">
        <v>631</v>
      </c>
      <c r="F104" s="2" t="s">
        <v>57</v>
      </c>
      <c r="G104" s="2" t="s">
        <v>162</v>
      </c>
      <c r="H104" s="2" t="s">
        <v>176</v>
      </c>
      <c r="I104" s="2" t="s">
        <v>632</v>
      </c>
      <c r="J104" s="2" t="s">
        <v>633</v>
      </c>
      <c r="K104" s="2"/>
      <c r="L104" s="2" t="n">
        <v>2500</v>
      </c>
      <c r="M104" s="12" t="n">
        <v>1388</v>
      </c>
    </row>
    <row r="105" customFormat="false" ht="14.25" hidden="false" customHeight="false" outlineLevel="0" collapsed="false">
      <c r="A105" s="13" t="s">
        <v>634</v>
      </c>
      <c r="B105" s="4" t="s">
        <v>136</v>
      </c>
      <c r="C105" s="4" t="s">
        <v>137</v>
      </c>
      <c r="D105" s="4" t="s">
        <v>635</v>
      </c>
      <c r="E105" s="4" t="s">
        <v>330</v>
      </c>
      <c r="F105" s="4" t="s">
        <v>66</v>
      </c>
      <c r="G105" s="4" t="s">
        <v>189</v>
      </c>
      <c r="H105" s="4" t="s">
        <v>176</v>
      </c>
      <c r="I105" s="4" t="s">
        <v>636</v>
      </c>
      <c r="J105" s="4" t="s">
        <v>637</v>
      </c>
      <c r="K105" s="4"/>
      <c r="L105" s="4" t="n">
        <v>1000</v>
      </c>
      <c r="M105" s="14" t="n">
        <v>606</v>
      </c>
    </row>
    <row r="106" customFormat="false" ht="14.25" hidden="false" customHeight="false" outlineLevel="0" collapsed="false">
      <c r="A106" s="11" t="s">
        <v>638</v>
      </c>
      <c r="B106" s="2" t="s">
        <v>136</v>
      </c>
      <c r="C106" s="2" t="s">
        <v>137</v>
      </c>
      <c r="D106" s="2" t="s">
        <v>639</v>
      </c>
      <c r="E106" s="2" t="s">
        <v>225</v>
      </c>
      <c r="F106" s="2" t="s">
        <v>15</v>
      </c>
      <c r="G106" s="2" t="s">
        <v>175</v>
      </c>
      <c r="H106" s="2" t="s">
        <v>183</v>
      </c>
      <c r="I106" s="2" t="s">
        <v>640</v>
      </c>
      <c r="J106" s="2" t="s">
        <v>641</v>
      </c>
      <c r="K106" s="2" t="s">
        <v>641</v>
      </c>
      <c r="L106" s="2" t="n">
        <v>1000</v>
      </c>
      <c r="M106" s="12" t="n">
        <v>734</v>
      </c>
    </row>
    <row r="107" customFormat="false" ht="14.25" hidden="false" customHeight="false" outlineLevel="0" collapsed="false">
      <c r="A107" s="13" t="s">
        <v>642</v>
      </c>
      <c r="B107" s="4" t="s">
        <v>120</v>
      </c>
      <c r="C107" s="4" t="s">
        <v>121</v>
      </c>
      <c r="D107" s="4" t="s">
        <v>643</v>
      </c>
      <c r="E107" s="4" t="s">
        <v>463</v>
      </c>
      <c r="F107" s="4" t="s">
        <v>57</v>
      </c>
      <c r="G107" s="4" t="s">
        <v>182</v>
      </c>
      <c r="H107" s="4" t="s">
        <v>163</v>
      </c>
      <c r="I107" s="4" t="s">
        <v>644</v>
      </c>
      <c r="J107" s="4" t="s">
        <v>645</v>
      </c>
      <c r="K107" s="4" t="s">
        <v>646</v>
      </c>
      <c r="L107" s="4" t="n">
        <v>8000</v>
      </c>
      <c r="M107" s="14" t="n">
        <v>8335</v>
      </c>
    </row>
    <row r="108" customFormat="false" ht="14.25" hidden="false" customHeight="false" outlineLevel="0" collapsed="false">
      <c r="A108" s="11" t="s">
        <v>647</v>
      </c>
      <c r="B108" s="2" t="s">
        <v>125</v>
      </c>
      <c r="C108" s="2" t="s">
        <v>126</v>
      </c>
      <c r="D108" s="2" t="s">
        <v>648</v>
      </c>
      <c r="E108" s="2" t="s">
        <v>364</v>
      </c>
      <c r="F108" s="2" t="s">
        <v>60</v>
      </c>
      <c r="G108" s="2" t="s">
        <v>289</v>
      </c>
      <c r="H108" s="2" t="s">
        <v>517</v>
      </c>
      <c r="I108" s="2" t="s">
        <v>649</v>
      </c>
      <c r="J108" s="2" t="s">
        <v>650</v>
      </c>
      <c r="K108" s="2"/>
      <c r="L108" s="2" t="n">
        <v>6000</v>
      </c>
      <c r="M108" s="12" t="n">
        <v>0</v>
      </c>
    </row>
    <row r="109" customFormat="false" ht="14.25" hidden="false" customHeight="false" outlineLevel="0" collapsed="false">
      <c r="A109" s="13" t="s">
        <v>651</v>
      </c>
      <c r="B109" s="4" t="s">
        <v>98</v>
      </c>
      <c r="C109" s="4" t="s">
        <v>99</v>
      </c>
      <c r="D109" s="4" t="s">
        <v>652</v>
      </c>
      <c r="E109" s="4" t="s">
        <v>63</v>
      </c>
      <c r="F109" s="4" t="s">
        <v>73</v>
      </c>
      <c r="G109" s="4" t="s">
        <v>175</v>
      </c>
      <c r="H109" s="4" t="s">
        <v>290</v>
      </c>
      <c r="I109" s="4" t="s">
        <v>256</v>
      </c>
      <c r="J109" s="4" t="s">
        <v>653</v>
      </c>
      <c r="K109" s="4" t="s">
        <v>653</v>
      </c>
      <c r="L109" s="4" t="n">
        <v>1000</v>
      </c>
      <c r="M109" s="14" t="n">
        <v>1106</v>
      </c>
    </row>
    <row r="110" customFormat="false" ht="14.25" hidden="false" customHeight="false" outlineLevel="0" collapsed="false">
      <c r="A110" s="11" t="s">
        <v>654</v>
      </c>
      <c r="B110" s="2" t="s">
        <v>116</v>
      </c>
      <c r="C110" s="2" t="s">
        <v>117</v>
      </c>
      <c r="D110" s="2" t="s">
        <v>655</v>
      </c>
      <c r="E110" s="2" t="s">
        <v>392</v>
      </c>
      <c r="F110" s="2" t="s">
        <v>81</v>
      </c>
      <c r="G110" s="2" t="s">
        <v>243</v>
      </c>
      <c r="H110" s="2" t="s">
        <v>244</v>
      </c>
      <c r="I110" s="2" t="s">
        <v>627</v>
      </c>
      <c r="J110" s="2" t="s">
        <v>656</v>
      </c>
      <c r="K110" s="2"/>
      <c r="L110" s="2" t="n">
        <v>8000</v>
      </c>
      <c r="M110" s="12" t="n">
        <v>5450</v>
      </c>
    </row>
    <row r="111" customFormat="false" ht="14.25" hidden="false" customHeight="false" outlineLevel="0" collapsed="false">
      <c r="A111" s="13" t="s">
        <v>657</v>
      </c>
      <c r="B111" s="4" t="s">
        <v>136</v>
      </c>
      <c r="C111" s="4" t="s">
        <v>137</v>
      </c>
      <c r="D111" s="4" t="s">
        <v>658</v>
      </c>
      <c r="E111" s="4" t="s">
        <v>349</v>
      </c>
      <c r="F111" s="4" t="s">
        <v>33</v>
      </c>
      <c r="G111" s="4"/>
      <c r="H111" s="4" t="s">
        <v>212</v>
      </c>
      <c r="I111" s="4" t="s">
        <v>659</v>
      </c>
      <c r="J111" s="4" t="s">
        <v>375</v>
      </c>
      <c r="K111" s="4"/>
      <c r="L111" s="4" t="n">
        <v>8000</v>
      </c>
      <c r="M111" s="14" t="n">
        <v>4463</v>
      </c>
    </row>
    <row r="112" customFormat="false" ht="14.25" hidden="false" customHeight="false" outlineLevel="0" collapsed="false">
      <c r="A112" s="11" t="s">
        <v>660</v>
      </c>
      <c r="B112" s="2" t="s">
        <v>125</v>
      </c>
      <c r="C112" s="2" t="s">
        <v>126</v>
      </c>
      <c r="D112" s="2" t="s">
        <v>661</v>
      </c>
      <c r="E112" s="2" t="s">
        <v>335</v>
      </c>
      <c r="F112" s="2" t="s">
        <v>24</v>
      </c>
      <c r="G112" s="2" t="s">
        <v>169</v>
      </c>
      <c r="H112" s="2" t="s">
        <v>227</v>
      </c>
      <c r="I112" s="2" t="s">
        <v>662</v>
      </c>
      <c r="J112" s="2" t="s">
        <v>663</v>
      </c>
      <c r="K112" s="2"/>
      <c r="L112" s="2" t="n">
        <v>3000</v>
      </c>
      <c r="M112" s="12" t="n">
        <v>742</v>
      </c>
    </row>
    <row r="113" customFormat="false" ht="14.25" hidden="false" customHeight="false" outlineLevel="0" collapsed="false">
      <c r="A113" s="13" t="s">
        <v>664</v>
      </c>
      <c r="B113" s="4" t="s">
        <v>112</v>
      </c>
      <c r="C113" s="4" t="s">
        <v>113</v>
      </c>
      <c r="D113" s="4" t="s">
        <v>665</v>
      </c>
      <c r="E113" s="4" t="s">
        <v>238</v>
      </c>
      <c r="F113" s="4" t="s">
        <v>50</v>
      </c>
      <c r="G113" s="4" t="s">
        <v>169</v>
      </c>
      <c r="H113" s="4" t="s">
        <v>183</v>
      </c>
      <c r="I113" s="4" t="s">
        <v>589</v>
      </c>
      <c r="J113" s="4" t="s">
        <v>666</v>
      </c>
      <c r="K113" s="4" t="s">
        <v>667</v>
      </c>
      <c r="L113" s="4" t="n">
        <v>6000</v>
      </c>
      <c r="M113" s="14" t="n">
        <v>7892</v>
      </c>
    </row>
    <row r="114" customFormat="false" ht="14.25" hidden="false" customHeight="false" outlineLevel="0" collapsed="false">
      <c r="A114" s="11" t="s">
        <v>668</v>
      </c>
      <c r="B114" s="2" t="s">
        <v>103</v>
      </c>
      <c r="C114" s="2" t="s">
        <v>104</v>
      </c>
      <c r="D114" s="2" t="s">
        <v>669</v>
      </c>
      <c r="E114" s="2" t="s">
        <v>34</v>
      </c>
      <c r="F114" s="2" t="s">
        <v>670</v>
      </c>
      <c r="G114" s="2" t="s">
        <v>162</v>
      </c>
      <c r="H114" s="2" t="s">
        <v>176</v>
      </c>
      <c r="I114" s="2" t="s">
        <v>671</v>
      </c>
      <c r="J114" s="2" t="s">
        <v>589</v>
      </c>
      <c r="K114" s="2"/>
      <c r="L114" s="2" t="n">
        <v>2000</v>
      </c>
      <c r="M114" s="12" t="n">
        <v>1080</v>
      </c>
    </row>
    <row r="115" customFormat="false" ht="14.25" hidden="false" customHeight="false" outlineLevel="0" collapsed="false">
      <c r="A115" s="13" t="s">
        <v>672</v>
      </c>
      <c r="B115" s="4" t="s">
        <v>103</v>
      </c>
      <c r="C115" s="4" t="s">
        <v>104</v>
      </c>
      <c r="D115" s="4" t="s">
        <v>354</v>
      </c>
      <c r="E115" s="4" t="s">
        <v>63</v>
      </c>
      <c r="F115" s="4" t="s">
        <v>60</v>
      </c>
      <c r="G115" s="4" t="s">
        <v>175</v>
      </c>
      <c r="H115" s="4" t="s">
        <v>227</v>
      </c>
      <c r="I115" s="4" t="s">
        <v>673</v>
      </c>
      <c r="J115" s="4" t="s">
        <v>674</v>
      </c>
      <c r="K115" s="4"/>
      <c r="L115" s="4" t="n">
        <v>3000</v>
      </c>
      <c r="M115" s="14" t="n">
        <v>1233</v>
      </c>
    </row>
    <row r="116" customFormat="false" ht="14.25" hidden="false" customHeight="false" outlineLevel="0" collapsed="false">
      <c r="A116" s="11" t="s">
        <v>675</v>
      </c>
      <c r="B116" s="2" t="s">
        <v>116</v>
      </c>
      <c r="C116" s="2" t="s">
        <v>117</v>
      </c>
      <c r="D116" s="2" t="s">
        <v>676</v>
      </c>
      <c r="E116" s="2" t="s">
        <v>631</v>
      </c>
      <c r="F116" s="2" t="s">
        <v>37</v>
      </c>
      <c r="G116" s="2" t="s">
        <v>169</v>
      </c>
      <c r="H116" s="2" t="s">
        <v>176</v>
      </c>
      <c r="I116" s="2" t="s">
        <v>677</v>
      </c>
      <c r="J116" s="2" t="s">
        <v>678</v>
      </c>
      <c r="K116" s="2"/>
      <c r="L116" s="2" t="n">
        <v>6000</v>
      </c>
      <c r="M116" s="12" t="n">
        <v>1369</v>
      </c>
    </row>
    <row r="117" customFormat="false" ht="14.25" hidden="false" customHeight="false" outlineLevel="0" collapsed="false">
      <c r="A117" s="13" t="s">
        <v>679</v>
      </c>
      <c r="B117" s="4" t="s">
        <v>103</v>
      </c>
      <c r="C117" s="4" t="s">
        <v>104</v>
      </c>
      <c r="D117" s="4" t="s">
        <v>547</v>
      </c>
      <c r="E117" s="4" t="s">
        <v>161</v>
      </c>
      <c r="F117" s="4" t="s">
        <v>37</v>
      </c>
      <c r="G117" s="4" t="s">
        <v>275</v>
      </c>
      <c r="H117" s="4" t="s">
        <v>163</v>
      </c>
      <c r="I117" s="4" t="s">
        <v>680</v>
      </c>
      <c r="J117" s="4" t="s">
        <v>681</v>
      </c>
      <c r="K117" s="4" t="s">
        <v>682</v>
      </c>
      <c r="L117" s="4" t="n">
        <v>1500</v>
      </c>
      <c r="M117" s="14" t="n">
        <v>1832</v>
      </c>
    </row>
    <row r="118" customFormat="false" ht="14.25" hidden="false" customHeight="false" outlineLevel="0" collapsed="false">
      <c r="A118" s="11" t="s">
        <v>683</v>
      </c>
      <c r="B118" s="2" t="s">
        <v>143</v>
      </c>
      <c r="C118" s="2" t="s">
        <v>144</v>
      </c>
      <c r="D118" s="2" t="s">
        <v>684</v>
      </c>
      <c r="E118" s="2" t="s">
        <v>44</v>
      </c>
      <c r="F118" s="2" t="s">
        <v>66</v>
      </c>
      <c r="G118" s="2" t="s">
        <v>189</v>
      </c>
      <c r="H118" s="2" t="s">
        <v>244</v>
      </c>
      <c r="I118" s="2" t="s">
        <v>685</v>
      </c>
      <c r="J118" s="2" t="s">
        <v>686</v>
      </c>
      <c r="K118" s="2"/>
      <c r="L118" s="2" t="n">
        <v>2500</v>
      </c>
      <c r="M118" s="12" t="n">
        <v>895</v>
      </c>
    </row>
    <row r="119" customFormat="false" ht="14.25" hidden="false" customHeight="false" outlineLevel="0" collapsed="false">
      <c r="A119" s="13" t="s">
        <v>687</v>
      </c>
      <c r="B119" s="4" t="s">
        <v>143</v>
      </c>
      <c r="C119" s="4" t="s">
        <v>144</v>
      </c>
      <c r="D119" s="4" t="s">
        <v>688</v>
      </c>
      <c r="E119" s="4" t="s">
        <v>54</v>
      </c>
      <c r="F119" s="4" t="s">
        <v>689</v>
      </c>
      <c r="G119" s="4" t="s">
        <v>206</v>
      </c>
      <c r="H119" s="4" t="s">
        <v>219</v>
      </c>
      <c r="I119" s="4" t="s">
        <v>690</v>
      </c>
      <c r="J119" s="4" t="s">
        <v>250</v>
      </c>
      <c r="K119" s="4" t="s">
        <v>250</v>
      </c>
      <c r="L119" s="4" t="n">
        <v>6000</v>
      </c>
      <c r="M119" s="14" t="n">
        <v>5085</v>
      </c>
    </row>
    <row r="120" customFormat="false" ht="14.25" hidden="false" customHeight="false" outlineLevel="0" collapsed="false">
      <c r="A120" s="11" t="s">
        <v>691</v>
      </c>
      <c r="B120" s="2" t="s">
        <v>108</v>
      </c>
      <c r="C120" s="2" t="s">
        <v>109</v>
      </c>
      <c r="D120" s="2" t="s">
        <v>537</v>
      </c>
      <c r="E120" s="2" t="s">
        <v>44</v>
      </c>
      <c r="F120" s="2" t="s">
        <v>26</v>
      </c>
      <c r="G120" s="2" t="s">
        <v>200</v>
      </c>
      <c r="H120" s="2" t="s">
        <v>170</v>
      </c>
      <c r="I120" s="2" t="s">
        <v>692</v>
      </c>
      <c r="J120" s="2" t="s">
        <v>693</v>
      </c>
      <c r="K120" s="2"/>
      <c r="L120" s="2" t="n">
        <v>6000</v>
      </c>
      <c r="M120" s="12" t="n">
        <v>2042</v>
      </c>
    </row>
    <row r="121" customFormat="false" ht="14.25" hidden="false" customHeight="false" outlineLevel="0" collapsed="false">
      <c r="A121" s="13" t="s">
        <v>694</v>
      </c>
      <c r="B121" s="4" t="s">
        <v>125</v>
      </c>
      <c r="C121" s="4" t="s">
        <v>126</v>
      </c>
      <c r="D121" s="4" t="s">
        <v>421</v>
      </c>
      <c r="E121" s="4" t="s">
        <v>76</v>
      </c>
      <c r="F121" s="4" t="s">
        <v>62</v>
      </c>
      <c r="G121" s="4" t="s">
        <v>169</v>
      </c>
      <c r="H121" s="4" t="s">
        <v>212</v>
      </c>
      <c r="I121" s="4" t="s">
        <v>695</v>
      </c>
      <c r="J121" s="4" t="s">
        <v>696</v>
      </c>
      <c r="K121" s="4"/>
      <c r="L121" s="4" t="n">
        <v>4000</v>
      </c>
      <c r="M121" s="14" t="n">
        <v>2867</v>
      </c>
    </row>
    <row r="122" customFormat="false" ht="14.25" hidden="false" customHeight="false" outlineLevel="0" collapsed="false">
      <c r="A122" s="11" t="s">
        <v>697</v>
      </c>
      <c r="B122" s="2" t="s">
        <v>143</v>
      </c>
      <c r="C122" s="2" t="s">
        <v>144</v>
      </c>
      <c r="D122" s="2" t="s">
        <v>566</v>
      </c>
      <c r="E122" s="2" t="s">
        <v>330</v>
      </c>
      <c r="F122" s="2" t="s">
        <v>75</v>
      </c>
      <c r="G122" s="2" t="s">
        <v>226</v>
      </c>
      <c r="H122" s="2" t="s">
        <v>239</v>
      </c>
      <c r="I122" s="2" t="s">
        <v>649</v>
      </c>
      <c r="J122" s="2" t="s">
        <v>698</v>
      </c>
      <c r="K122" s="2" t="s">
        <v>699</v>
      </c>
      <c r="L122" s="2" t="n">
        <v>1000</v>
      </c>
      <c r="M122" s="12" t="n">
        <v>1328</v>
      </c>
    </row>
    <row r="123" customFormat="false" ht="14.25" hidden="false" customHeight="false" outlineLevel="0" collapsed="false">
      <c r="A123" s="13" t="s">
        <v>700</v>
      </c>
      <c r="B123" s="4" t="s">
        <v>88</v>
      </c>
      <c r="C123" s="4" t="s">
        <v>89</v>
      </c>
      <c r="D123" s="4" t="s">
        <v>498</v>
      </c>
      <c r="E123" s="4" t="s">
        <v>63</v>
      </c>
      <c r="F123" s="4" t="s">
        <v>24</v>
      </c>
      <c r="G123" s="4" t="s">
        <v>206</v>
      </c>
      <c r="H123" s="4" t="s">
        <v>212</v>
      </c>
      <c r="I123" s="4" t="s">
        <v>701</v>
      </c>
      <c r="J123" s="4" t="s">
        <v>702</v>
      </c>
      <c r="K123" s="4"/>
      <c r="L123" s="4" t="n">
        <v>3000</v>
      </c>
      <c r="M123" s="14" t="n">
        <v>1804</v>
      </c>
    </row>
    <row r="124" customFormat="false" ht="14.25" hidden="false" customHeight="false" outlineLevel="0" collapsed="false">
      <c r="A124" s="11" t="s">
        <v>703</v>
      </c>
      <c r="B124" s="2" t="s">
        <v>120</v>
      </c>
      <c r="C124" s="2" t="s">
        <v>121</v>
      </c>
      <c r="D124" s="2" t="s">
        <v>387</v>
      </c>
      <c r="E124" s="2" t="s">
        <v>392</v>
      </c>
      <c r="F124" s="2" t="s">
        <v>31</v>
      </c>
      <c r="G124" s="2" t="s">
        <v>218</v>
      </c>
      <c r="H124" s="2" t="s">
        <v>290</v>
      </c>
      <c r="I124" s="2" t="s">
        <v>704</v>
      </c>
      <c r="J124" s="2" t="s">
        <v>695</v>
      </c>
      <c r="K124" s="2" t="s">
        <v>705</v>
      </c>
      <c r="L124" s="2" t="n">
        <v>1500</v>
      </c>
      <c r="M124" s="12" t="n">
        <v>1055</v>
      </c>
    </row>
    <row r="125" customFormat="false" ht="14.25" hidden="false" customHeight="false" outlineLevel="0" collapsed="false">
      <c r="A125" s="13" t="s">
        <v>706</v>
      </c>
      <c r="B125" s="4" t="s">
        <v>120</v>
      </c>
      <c r="C125" s="4" t="s">
        <v>121</v>
      </c>
      <c r="D125" s="4" t="s">
        <v>707</v>
      </c>
      <c r="E125" s="4" t="s">
        <v>335</v>
      </c>
      <c r="F125" s="4" t="s">
        <v>53</v>
      </c>
      <c r="G125" s="4" t="s">
        <v>206</v>
      </c>
      <c r="H125" s="4" t="s">
        <v>183</v>
      </c>
      <c r="I125" s="4" t="s">
        <v>708</v>
      </c>
      <c r="J125" s="4" t="s">
        <v>709</v>
      </c>
      <c r="K125" s="4" t="s">
        <v>710</v>
      </c>
      <c r="L125" s="4" t="n">
        <v>2500</v>
      </c>
      <c r="M125" s="14" t="n">
        <v>2644</v>
      </c>
    </row>
    <row r="126" customFormat="false" ht="14.25" hidden="false" customHeight="false" outlineLevel="0" collapsed="false">
      <c r="A126" s="11" t="s">
        <v>711</v>
      </c>
      <c r="B126" s="2"/>
      <c r="C126" s="2"/>
      <c r="D126" s="2" t="s">
        <v>286</v>
      </c>
      <c r="E126" s="2"/>
      <c r="F126" s="2"/>
      <c r="G126" s="2"/>
      <c r="H126" s="2"/>
      <c r="I126" s="2"/>
      <c r="J126" s="2"/>
      <c r="K126" s="2"/>
      <c r="L126" s="2"/>
      <c r="M126" s="12"/>
    </row>
    <row r="127" customFormat="false" ht="14.25" hidden="false" customHeight="false" outlineLevel="0" collapsed="false">
      <c r="A127" s="13" t="s">
        <v>712</v>
      </c>
      <c r="B127" s="4" t="s">
        <v>136</v>
      </c>
      <c r="C127" s="4" t="s">
        <v>137</v>
      </c>
      <c r="D127" s="4" t="s">
        <v>231</v>
      </c>
      <c r="E127" s="4" t="s">
        <v>174</v>
      </c>
      <c r="F127" s="4" t="s">
        <v>713</v>
      </c>
      <c r="G127" s="4" t="s">
        <v>169</v>
      </c>
      <c r="H127" s="4" t="s">
        <v>212</v>
      </c>
      <c r="I127" s="4" t="s">
        <v>714</v>
      </c>
      <c r="J127" s="4" t="s">
        <v>715</v>
      </c>
      <c r="K127" s="4"/>
      <c r="L127" s="4" t="n">
        <v>3000</v>
      </c>
      <c r="M127" s="14" t="n">
        <v>1248</v>
      </c>
    </row>
    <row r="128" customFormat="false" ht="14.25" hidden="false" customHeight="false" outlineLevel="0" collapsed="false">
      <c r="A128" s="11" t="s">
        <v>716</v>
      </c>
      <c r="B128" s="2" t="s">
        <v>93</v>
      </c>
      <c r="C128" s="2" t="s">
        <v>94</v>
      </c>
      <c r="D128" s="2" t="s">
        <v>498</v>
      </c>
      <c r="E128" s="2" t="s">
        <v>274</v>
      </c>
      <c r="F128" s="2" t="s">
        <v>10</v>
      </c>
      <c r="G128" s="2" t="s">
        <v>275</v>
      </c>
      <c r="H128" s="2" t="s">
        <v>163</v>
      </c>
      <c r="I128" s="2" t="s">
        <v>717</v>
      </c>
      <c r="J128" s="2" t="s">
        <v>718</v>
      </c>
      <c r="K128" s="2" t="s">
        <v>719</v>
      </c>
      <c r="L128" s="2" t="n">
        <v>10000</v>
      </c>
      <c r="M128" s="12" t="n">
        <v>11406</v>
      </c>
    </row>
    <row r="129" customFormat="false" ht="14.25" hidden="false" customHeight="false" outlineLevel="0" collapsed="false">
      <c r="A129" s="13" t="s">
        <v>720</v>
      </c>
      <c r="B129" s="4" t="s">
        <v>88</v>
      </c>
      <c r="C129" s="4" t="s">
        <v>89</v>
      </c>
      <c r="D129" s="4" t="s">
        <v>721</v>
      </c>
      <c r="E129" s="4" t="s">
        <v>458</v>
      </c>
      <c r="F129" s="4" t="s">
        <v>33</v>
      </c>
      <c r="G129" s="4" t="s">
        <v>200</v>
      </c>
      <c r="H129" s="4" t="s">
        <v>176</v>
      </c>
      <c r="I129" s="4" t="s">
        <v>722</v>
      </c>
      <c r="J129" s="4" t="s">
        <v>723</v>
      </c>
      <c r="K129" s="4"/>
      <c r="L129" s="4" t="n">
        <v>2500</v>
      </c>
      <c r="M129" s="14" t="n">
        <v>837</v>
      </c>
    </row>
    <row r="130" customFormat="false" ht="14.25" hidden="false" customHeight="false" outlineLevel="0" collapsed="false">
      <c r="A130" s="11" t="s">
        <v>724</v>
      </c>
      <c r="B130" s="2" t="s">
        <v>140</v>
      </c>
      <c r="C130" s="2" t="s">
        <v>141</v>
      </c>
      <c r="D130" s="2" t="s">
        <v>725</v>
      </c>
      <c r="E130" s="2" t="s">
        <v>349</v>
      </c>
      <c r="F130" s="2" t="s">
        <v>12</v>
      </c>
      <c r="G130" s="2" t="s">
        <v>243</v>
      </c>
      <c r="H130" s="2" t="s">
        <v>281</v>
      </c>
      <c r="I130" s="2" t="s">
        <v>726</v>
      </c>
      <c r="J130" s="2" t="s">
        <v>727</v>
      </c>
      <c r="K130" s="2" t="s">
        <v>728</v>
      </c>
      <c r="L130" s="2" t="n">
        <v>2500</v>
      </c>
      <c r="M130" s="12" t="n">
        <v>2311</v>
      </c>
    </row>
    <row r="131" customFormat="false" ht="14.25" hidden="false" customHeight="false" outlineLevel="0" collapsed="false">
      <c r="A131" s="13" t="s">
        <v>729</v>
      </c>
      <c r="B131" s="4" t="s">
        <v>93</v>
      </c>
      <c r="C131" s="4" t="s">
        <v>94</v>
      </c>
      <c r="D131" s="4" t="s">
        <v>730</v>
      </c>
      <c r="E131" s="4" t="s">
        <v>458</v>
      </c>
      <c r="F131" s="4" t="s">
        <v>40</v>
      </c>
      <c r="G131" s="4" t="s">
        <v>218</v>
      </c>
      <c r="H131" s="4" t="s">
        <v>290</v>
      </c>
      <c r="I131" s="4" t="s">
        <v>731</v>
      </c>
      <c r="J131" s="4" t="s">
        <v>732</v>
      </c>
      <c r="K131" s="4" t="s">
        <v>733</v>
      </c>
      <c r="L131" s="4" t="n">
        <v>1500</v>
      </c>
      <c r="M131" s="14" t="n">
        <v>1359</v>
      </c>
    </row>
    <row r="132" customFormat="false" ht="14.25" hidden="false" customHeight="false" outlineLevel="0" collapsed="false">
      <c r="A132" s="11" t="s">
        <v>511</v>
      </c>
      <c r="B132" s="2" t="s">
        <v>129</v>
      </c>
      <c r="C132" s="2" t="s">
        <v>130</v>
      </c>
      <c r="D132" s="2" t="s">
        <v>512</v>
      </c>
      <c r="E132" s="2" t="s">
        <v>335</v>
      </c>
      <c r="F132" s="2" t="s">
        <v>20</v>
      </c>
      <c r="G132" s="2" t="s">
        <v>206</v>
      </c>
      <c r="H132" s="2" t="s">
        <v>219</v>
      </c>
      <c r="I132" s="2" t="s">
        <v>513</v>
      </c>
      <c r="J132" s="2" t="s">
        <v>514</v>
      </c>
      <c r="K132" s="2" t="s">
        <v>514</v>
      </c>
      <c r="L132" s="2" t="n">
        <v>2000</v>
      </c>
      <c r="M132" s="12" t="n">
        <v>1896</v>
      </c>
    </row>
    <row r="133" customFormat="false" ht="14.25" hidden="false" customHeight="false" outlineLevel="0" collapsed="false">
      <c r="A133" s="13" t="s">
        <v>734</v>
      </c>
      <c r="B133" s="4" t="s">
        <v>136</v>
      </c>
      <c r="C133" s="4" t="s">
        <v>137</v>
      </c>
      <c r="D133" s="4" t="s">
        <v>611</v>
      </c>
      <c r="E133" s="4" t="s">
        <v>254</v>
      </c>
      <c r="F133" s="4" t="s">
        <v>29</v>
      </c>
      <c r="G133" s="4" t="s">
        <v>182</v>
      </c>
      <c r="H133" s="4" t="s">
        <v>219</v>
      </c>
      <c r="I133" s="4" t="s">
        <v>735</v>
      </c>
      <c r="J133" s="4" t="s">
        <v>736</v>
      </c>
      <c r="K133" s="4" t="s">
        <v>736</v>
      </c>
      <c r="L133" s="4" t="n">
        <v>4000</v>
      </c>
      <c r="M133" s="14"/>
    </row>
    <row r="134" customFormat="false" ht="14.25" hidden="false" customHeight="false" outlineLevel="0" collapsed="false">
      <c r="A134" s="11" t="s">
        <v>737</v>
      </c>
      <c r="B134" s="2" t="s">
        <v>133</v>
      </c>
      <c r="C134" s="2" t="s">
        <v>134</v>
      </c>
      <c r="D134" s="2" t="s">
        <v>688</v>
      </c>
      <c r="E134" s="2" t="s">
        <v>371</v>
      </c>
      <c r="F134" s="2" t="s">
        <v>18</v>
      </c>
      <c r="G134" s="2" t="s">
        <v>218</v>
      </c>
      <c r="H134" s="2" t="s">
        <v>249</v>
      </c>
      <c r="I134" s="2" t="s">
        <v>538</v>
      </c>
      <c r="J134" s="2" t="s">
        <v>321</v>
      </c>
      <c r="K134" s="2" t="s">
        <v>738</v>
      </c>
      <c r="L134" s="2" t="n">
        <v>1000</v>
      </c>
      <c r="M134" s="12" t="n">
        <v>1032</v>
      </c>
    </row>
    <row r="135" customFormat="false" ht="14.25" hidden="false" customHeight="false" outlineLevel="0" collapsed="false">
      <c r="A135" s="13" t="s">
        <v>739</v>
      </c>
      <c r="B135" s="4" t="s">
        <v>140</v>
      </c>
      <c r="C135" s="4" t="s">
        <v>141</v>
      </c>
      <c r="D135" s="4" t="s">
        <v>740</v>
      </c>
      <c r="E135" s="4" t="s">
        <v>371</v>
      </c>
      <c r="F135" s="4" t="s">
        <v>741</v>
      </c>
      <c r="G135" s="4" t="s">
        <v>169</v>
      </c>
      <c r="H135" s="4" t="s">
        <v>163</v>
      </c>
      <c r="I135" s="4" t="s">
        <v>742</v>
      </c>
      <c r="J135" s="4" t="s">
        <v>743</v>
      </c>
      <c r="K135" s="4" t="s">
        <v>744</v>
      </c>
      <c r="L135" s="4" t="n">
        <v>1500</v>
      </c>
      <c r="M135" s="14" t="n">
        <v>1834</v>
      </c>
    </row>
    <row r="136" customFormat="false" ht="14.25" hidden="false" customHeight="false" outlineLevel="0" collapsed="false">
      <c r="A136" s="11" t="s">
        <v>745</v>
      </c>
      <c r="B136" s="2" t="s">
        <v>108</v>
      </c>
      <c r="C136" s="2" t="s">
        <v>109</v>
      </c>
      <c r="D136" s="2" t="s">
        <v>746</v>
      </c>
      <c r="E136" s="2"/>
      <c r="F136" s="2" t="s">
        <v>10</v>
      </c>
      <c r="G136" s="2"/>
      <c r="H136" s="2" t="s">
        <v>517</v>
      </c>
      <c r="I136" s="2" t="s">
        <v>747</v>
      </c>
      <c r="J136" s="2" t="s">
        <v>748</v>
      </c>
      <c r="K136" s="2"/>
      <c r="L136" s="2" t="n">
        <v>10000</v>
      </c>
      <c r="M136" s="12" t="n">
        <v>0</v>
      </c>
    </row>
    <row r="137" customFormat="false" ht="14.25" hidden="false" customHeight="false" outlineLevel="0" collapsed="false">
      <c r="A137" s="13" t="s">
        <v>749</v>
      </c>
      <c r="B137" s="4" t="s">
        <v>112</v>
      </c>
      <c r="C137" s="4" t="s">
        <v>113</v>
      </c>
      <c r="D137" s="4" t="s">
        <v>620</v>
      </c>
      <c r="E137" s="4" t="s">
        <v>34</v>
      </c>
      <c r="F137" s="4" t="s">
        <v>53</v>
      </c>
      <c r="G137" s="4" t="s">
        <v>434</v>
      </c>
      <c r="H137" s="4" t="s">
        <v>244</v>
      </c>
      <c r="I137" s="4" t="s">
        <v>750</v>
      </c>
      <c r="J137" s="4" t="s">
        <v>751</v>
      </c>
      <c r="K137" s="4"/>
      <c r="L137" s="4" t="n">
        <v>3000</v>
      </c>
      <c r="M137" s="14" t="n">
        <v>732</v>
      </c>
    </row>
    <row r="138" customFormat="false" ht="14.25" hidden="false" customHeight="false" outlineLevel="0" collapsed="false">
      <c r="A138" s="11" t="s">
        <v>752</v>
      </c>
      <c r="B138" s="2" t="s">
        <v>112</v>
      </c>
      <c r="C138" s="2" t="s">
        <v>113</v>
      </c>
      <c r="D138" s="2" t="s">
        <v>753</v>
      </c>
      <c r="E138" s="2" t="s">
        <v>225</v>
      </c>
      <c r="F138" s="2" t="s">
        <v>53</v>
      </c>
      <c r="G138" s="2" t="s">
        <v>289</v>
      </c>
      <c r="H138" s="2" t="s">
        <v>176</v>
      </c>
      <c r="I138" s="2" t="s">
        <v>142</v>
      </c>
      <c r="J138" s="2" t="s">
        <v>754</v>
      </c>
      <c r="K138" s="2"/>
      <c r="L138" s="2" t="n">
        <v>10000</v>
      </c>
      <c r="M138" s="12" t="n">
        <v>5055</v>
      </c>
    </row>
    <row r="139" customFormat="false" ht="14.25" hidden="false" customHeight="false" outlineLevel="0" collapsed="false">
      <c r="A139" s="13" t="s">
        <v>755</v>
      </c>
      <c r="B139" s="4" t="s">
        <v>129</v>
      </c>
      <c r="C139" s="4" t="s">
        <v>130</v>
      </c>
      <c r="D139" s="4" t="s">
        <v>756</v>
      </c>
      <c r="E139" s="4" t="s">
        <v>330</v>
      </c>
      <c r="F139" s="4" t="s">
        <v>81</v>
      </c>
      <c r="G139" s="4" t="s">
        <v>275</v>
      </c>
      <c r="H139" s="4" t="s">
        <v>239</v>
      </c>
      <c r="I139" s="4" t="s">
        <v>757</v>
      </c>
      <c r="J139" s="4" t="s">
        <v>758</v>
      </c>
      <c r="K139" s="4" t="s">
        <v>758</v>
      </c>
      <c r="L139" s="4"/>
      <c r="M139" s="14" t="n">
        <v>1529</v>
      </c>
    </row>
    <row r="140" customFormat="false" ht="14.25" hidden="false" customHeight="false" outlineLevel="0" collapsed="false">
      <c r="A140" s="11" t="s">
        <v>759</v>
      </c>
      <c r="B140" s="2"/>
      <c r="C140" s="2"/>
      <c r="D140" s="2" t="s">
        <v>286</v>
      </c>
      <c r="E140" s="2"/>
      <c r="F140" s="2"/>
      <c r="G140" s="2"/>
      <c r="H140" s="2"/>
      <c r="I140" s="2"/>
      <c r="J140" s="2"/>
      <c r="K140" s="2"/>
      <c r="L140" s="2"/>
      <c r="M140" s="12"/>
    </row>
    <row r="141" customFormat="false" ht="14.25" hidden="false" customHeight="false" outlineLevel="0" collapsed="false">
      <c r="A141" s="13" t="s">
        <v>760</v>
      </c>
      <c r="B141" s="4" t="s">
        <v>108</v>
      </c>
      <c r="C141" s="4" t="s">
        <v>109</v>
      </c>
      <c r="D141" s="4" t="s">
        <v>761</v>
      </c>
      <c r="E141" s="4" t="s">
        <v>63</v>
      </c>
      <c r="F141" s="4" t="s">
        <v>762</v>
      </c>
      <c r="G141" s="4" t="s">
        <v>218</v>
      </c>
      <c r="H141" s="4" t="s">
        <v>219</v>
      </c>
      <c r="I141" s="4" t="s">
        <v>763</v>
      </c>
      <c r="J141" s="4" t="s">
        <v>764</v>
      </c>
      <c r="K141" s="4" t="s">
        <v>332</v>
      </c>
      <c r="L141" s="4" t="n">
        <v>1500</v>
      </c>
      <c r="M141" s="14" t="n">
        <v>1802</v>
      </c>
    </row>
    <row r="142" customFormat="false" ht="14.25" hidden="false" customHeight="false" outlineLevel="0" collapsed="false">
      <c r="A142" s="11" t="s">
        <v>765</v>
      </c>
      <c r="B142" s="2" t="s">
        <v>147</v>
      </c>
      <c r="C142" s="2" t="s">
        <v>148</v>
      </c>
      <c r="D142" s="2" t="s">
        <v>160</v>
      </c>
      <c r="E142" s="2" t="s">
        <v>371</v>
      </c>
      <c r="F142" s="2" t="s">
        <v>33</v>
      </c>
      <c r="G142" s="2" t="s">
        <v>226</v>
      </c>
      <c r="H142" s="2" t="s">
        <v>239</v>
      </c>
      <c r="I142" s="2" t="s">
        <v>766</v>
      </c>
      <c r="J142" s="2" t="s">
        <v>767</v>
      </c>
      <c r="K142" s="2" t="s">
        <v>768</v>
      </c>
      <c r="L142" s="2" t="n">
        <v>8000</v>
      </c>
      <c r="M142" s="12" t="n">
        <v>8590</v>
      </c>
    </row>
    <row r="143" customFormat="false" ht="14.25" hidden="false" customHeight="false" outlineLevel="0" collapsed="false">
      <c r="A143" s="13" t="s">
        <v>769</v>
      </c>
      <c r="B143" s="4" t="s">
        <v>116</v>
      </c>
      <c r="C143" s="4" t="s">
        <v>117</v>
      </c>
      <c r="D143" s="4" t="s">
        <v>770</v>
      </c>
      <c r="E143" s="4" t="s">
        <v>406</v>
      </c>
      <c r="F143" s="4" t="s">
        <v>57</v>
      </c>
      <c r="G143" s="4" t="s">
        <v>182</v>
      </c>
      <c r="H143" s="4" t="s">
        <v>290</v>
      </c>
      <c r="I143" s="4" t="s">
        <v>771</v>
      </c>
      <c r="J143" s="4" t="s">
        <v>772</v>
      </c>
      <c r="K143" s="4" t="s">
        <v>773</v>
      </c>
      <c r="L143" s="4" t="n">
        <v>5000</v>
      </c>
      <c r="M143" s="14" t="n">
        <v>6887</v>
      </c>
    </row>
    <row r="144" customFormat="false" ht="14.25" hidden="false" customHeight="false" outlineLevel="0" collapsed="false">
      <c r="A144" s="11" t="s">
        <v>774</v>
      </c>
      <c r="B144" s="2" t="s">
        <v>136</v>
      </c>
      <c r="C144" s="2" t="s">
        <v>137</v>
      </c>
      <c r="D144" s="2" t="s">
        <v>775</v>
      </c>
      <c r="E144" s="2" t="s">
        <v>458</v>
      </c>
      <c r="F144" s="2" t="s">
        <v>18</v>
      </c>
      <c r="G144" s="2" t="s">
        <v>275</v>
      </c>
      <c r="H144" s="2" t="s">
        <v>212</v>
      </c>
      <c r="I144" s="2" t="s">
        <v>776</v>
      </c>
      <c r="J144" s="2" t="s">
        <v>332</v>
      </c>
      <c r="K144" s="2"/>
      <c r="L144" s="2" t="n">
        <v>10000</v>
      </c>
      <c r="M144" s="12" t="n">
        <v>6014</v>
      </c>
    </row>
    <row r="145" customFormat="false" ht="14.25" hidden="false" customHeight="false" outlineLevel="0" collapsed="false">
      <c r="A145" s="13" t="s">
        <v>777</v>
      </c>
      <c r="B145" s="4" t="s">
        <v>136</v>
      </c>
      <c r="C145" s="4" t="s">
        <v>137</v>
      </c>
      <c r="D145" s="4" t="s">
        <v>447</v>
      </c>
      <c r="E145" s="4" t="s">
        <v>7</v>
      </c>
      <c r="F145" s="4" t="s">
        <v>33</v>
      </c>
      <c r="G145" s="4" t="s">
        <v>162</v>
      </c>
      <c r="H145" s="4" t="s">
        <v>365</v>
      </c>
      <c r="I145" s="4" t="s">
        <v>778</v>
      </c>
      <c r="J145" s="4" t="s">
        <v>779</v>
      </c>
      <c r="K145" s="4" t="s">
        <v>780</v>
      </c>
      <c r="L145" s="4"/>
      <c r="M145" s="14" t="n">
        <v>1441</v>
      </c>
    </row>
    <row r="146" customFormat="false" ht="14.25" hidden="false" customHeight="false" outlineLevel="0" collapsed="false">
      <c r="A146" s="11" t="s">
        <v>781</v>
      </c>
      <c r="B146" s="2" t="s">
        <v>112</v>
      </c>
      <c r="C146" s="2" t="s">
        <v>113</v>
      </c>
      <c r="D146" s="2" t="s">
        <v>782</v>
      </c>
      <c r="E146" s="2" t="s">
        <v>217</v>
      </c>
      <c r="F146" s="2" t="s">
        <v>37</v>
      </c>
      <c r="G146" s="2" t="s">
        <v>200</v>
      </c>
      <c r="H146" s="2" t="s">
        <v>290</v>
      </c>
      <c r="I146" s="2" t="s">
        <v>783</v>
      </c>
      <c r="J146" s="2" t="s">
        <v>784</v>
      </c>
      <c r="K146" s="2" t="s">
        <v>785</v>
      </c>
      <c r="L146" s="2" t="n">
        <v>4000</v>
      </c>
      <c r="M146" s="12" t="n">
        <v>4856</v>
      </c>
    </row>
    <row r="147" customFormat="false" ht="14.25" hidden="false" customHeight="false" outlineLevel="0" collapsed="false">
      <c r="A147" s="13" t="s">
        <v>786</v>
      </c>
      <c r="B147" s="4" t="s">
        <v>108</v>
      </c>
      <c r="C147" s="4" t="s">
        <v>109</v>
      </c>
      <c r="D147" s="4" t="s">
        <v>787</v>
      </c>
      <c r="E147" s="4" t="s">
        <v>44</v>
      </c>
      <c r="F147" s="4" t="s">
        <v>12</v>
      </c>
      <c r="G147" s="4" t="s">
        <v>243</v>
      </c>
      <c r="H147" s="4" t="s">
        <v>244</v>
      </c>
      <c r="I147" s="4" t="s">
        <v>788</v>
      </c>
      <c r="J147" s="4" t="s">
        <v>368</v>
      </c>
      <c r="K147" s="4"/>
      <c r="L147" s="4" t="n">
        <v>10000</v>
      </c>
      <c r="M147" s="14" t="n">
        <v>7305</v>
      </c>
    </row>
    <row r="148" customFormat="false" ht="14.25" hidden="false" customHeight="false" outlineLevel="0" collapsed="false">
      <c r="A148" s="11" t="s">
        <v>789</v>
      </c>
      <c r="B148" s="2" t="s">
        <v>143</v>
      </c>
      <c r="C148" s="2" t="s">
        <v>144</v>
      </c>
      <c r="D148" s="2" t="s">
        <v>790</v>
      </c>
      <c r="E148" s="2" t="s">
        <v>371</v>
      </c>
      <c r="F148" s="2" t="s">
        <v>40</v>
      </c>
      <c r="G148" s="2" t="s">
        <v>434</v>
      </c>
      <c r="H148" s="2" t="s">
        <v>239</v>
      </c>
      <c r="I148" s="2" t="s">
        <v>791</v>
      </c>
      <c r="J148" s="2" t="s">
        <v>465</v>
      </c>
      <c r="K148" s="2" t="s">
        <v>792</v>
      </c>
      <c r="L148" s="2" t="n">
        <v>2000</v>
      </c>
      <c r="M148" s="12" t="n">
        <v>2123</v>
      </c>
    </row>
    <row r="149" customFormat="false" ht="14.25" hidden="false" customHeight="false" outlineLevel="0" collapsed="false">
      <c r="A149" s="13" t="s">
        <v>793</v>
      </c>
      <c r="B149" s="4" t="s">
        <v>103</v>
      </c>
      <c r="C149" s="4" t="s">
        <v>104</v>
      </c>
      <c r="D149" s="4" t="s">
        <v>794</v>
      </c>
      <c r="E149" s="4" t="s">
        <v>225</v>
      </c>
      <c r="F149" s="4" t="s">
        <v>10</v>
      </c>
      <c r="G149" s="4" t="s">
        <v>175</v>
      </c>
      <c r="H149" s="4" t="s">
        <v>276</v>
      </c>
      <c r="I149" s="4" t="s">
        <v>795</v>
      </c>
      <c r="J149" s="4" t="s">
        <v>796</v>
      </c>
      <c r="K149" s="4"/>
      <c r="L149" s="4" t="n">
        <v>2000</v>
      </c>
      <c r="M149" s="14" t="n">
        <v>0</v>
      </c>
    </row>
    <row r="150" customFormat="false" ht="14.25" hidden="false" customHeight="false" outlineLevel="0" collapsed="false">
      <c r="A150" s="11" t="s">
        <v>797</v>
      </c>
      <c r="B150" s="2" t="s">
        <v>129</v>
      </c>
      <c r="C150" s="2" t="s">
        <v>130</v>
      </c>
      <c r="D150" s="2" t="s">
        <v>798</v>
      </c>
      <c r="E150" s="2" t="s">
        <v>260</v>
      </c>
      <c r="F150" s="2" t="s">
        <v>799</v>
      </c>
      <c r="G150" s="2" t="s">
        <v>218</v>
      </c>
      <c r="H150" s="2" t="s">
        <v>176</v>
      </c>
      <c r="I150" s="2" t="s">
        <v>800</v>
      </c>
      <c r="J150" s="2" t="s">
        <v>801</v>
      </c>
      <c r="K150" s="2"/>
      <c r="L150" s="2" t="n">
        <v>8000</v>
      </c>
      <c r="M150" s="12" t="n">
        <v>5250</v>
      </c>
    </row>
    <row r="151" customFormat="false" ht="14.25" hidden="false" customHeight="false" outlineLevel="0" collapsed="false">
      <c r="A151" s="13" t="s">
        <v>802</v>
      </c>
      <c r="B151" s="4" t="s">
        <v>147</v>
      </c>
      <c r="C151" s="4" t="s">
        <v>148</v>
      </c>
      <c r="D151" s="4" t="s">
        <v>798</v>
      </c>
      <c r="E151" s="4" t="s">
        <v>330</v>
      </c>
      <c r="F151" s="4" t="s">
        <v>50</v>
      </c>
      <c r="G151" s="4" t="s">
        <v>162</v>
      </c>
      <c r="H151" s="4" t="s">
        <v>290</v>
      </c>
      <c r="I151" s="4" t="s">
        <v>803</v>
      </c>
      <c r="J151" s="4" t="s">
        <v>804</v>
      </c>
      <c r="K151" s="4" t="s">
        <v>805</v>
      </c>
      <c r="L151" s="4" t="n">
        <v>6000</v>
      </c>
      <c r="M151" s="14" t="n">
        <v>8177</v>
      </c>
    </row>
    <row r="152" customFormat="false" ht="14.25" hidden="false" customHeight="false" outlineLevel="0" collapsed="false">
      <c r="A152" s="11" t="s">
        <v>806</v>
      </c>
      <c r="B152" s="2" t="s">
        <v>108</v>
      </c>
      <c r="C152" s="2" t="s">
        <v>109</v>
      </c>
      <c r="D152" s="2" t="s">
        <v>807</v>
      </c>
      <c r="E152" s="2" t="s">
        <v>76</v>
      </c>
      <c r="F152" s="2" t="s">
        <v>26</v>
      </c>
      <c r="G152" s="2" t="s">
        <v>243</v>
      </c>
      <c r="H152" s="2" t="s">
        <v>170</v>
      </c>
      <c r="I152" s="2" t="s">
        <v>659</v>
      </c>
      <c r="J152" s="2" t="s">
        <v>808</v>
      </c>
      <c r="K152" s="2"/>
      <c r="L152" s="2" t="n">
        <v>5000</v>
      </c>
      <c r="M152" s="12" t="n">
        <v>1275</v>
      </c>
    </row>
    <row r="153" customFormat="false" ht="14.25" hidden="false" customHeight="false" outlineLevel="0" collapsed="false">
      <c r="A153" s="13" t="s">
        <v>809</v>
      </c>
      <c r="B153" s="4" t="s">
        <v>112</v>
      </c>
      <c r="C153" s="4" t="s">
        <v>113</v>
      </c>
      <c r="D153" s="4" t="s">
        <v>810</v>
      </c>
      <c r="E153" s="4" t="s">
        <v>406</v>
      </c>
      <c r="F153" s="4" t="s">
        <v>15</v>
      </c>
      <c r="G153" s="4" t="s">
        <v>243</v>
      </c>
      <c r="H153" s="4" t="s">
        <v>212</v>
      </c>
      <c r="I153" s="4" t="s">
        <v>811</v>
      </c>
      <c r="J153" s="4" t="s">
        <v>812</v>
      </c>
      <c r="K153" s="4"/>
      <c r="L153" s="4" t="n">
        <v>8000</v>
      </c>
      <c r="M153" s="14" t="n">
        <v>1639</v>
      </c>
    </row>
    <row r="154" customFormat="false" ht="14.25" hidden="false" customHeight="false" outlineLevel="0" collapsed="false">
      <c r="A154" s="11" t="s">
        <v>813</v>
      </c>
      <c r="B154" s="2" t="s">
        <v>133</v>
      </c>
      <c r="C154" s="2" t="s">
        <v>134</v>
      </c>
      <c r="D154" s="2" t="s">
        <v>814</v>
      </c>
      <c r="E154" s="2" t="s">
        <v>217</v>
      </c>
      <c r="F154" s="2" t="s">
        <v>71</v>
      </c>
      <c r="G154" s="2" t="s">
        <v>434</v>
      </c>
      <c r="H154" s="2" t="s">
        <v>163</v>
      </c>
      <c r="I154" s="2" t="s">
        <v>815</v>
      </c>
      <c r="J154" s="2" t="s">
        <v>816</v>
      </c>
      <c r="K154" s="2" t="s">
        <v>817</v>
      </c>
      <c r="L154" s="2" t="n">
        <v>5000</v>
      </c>
      <c r="M154" s="12" t="n">
        <v>6660</v>
      </c>
    </row>
    <row r="155" customFormat="false" ht="14.25" hidden="false" customHeight="false" outlineLevel="0" collapsed="false">
      <c r="A155" s="13" t="s">
        <v>818</v>
      </c>
      <c r="B155" s="4" t="s">
        <v>93</v>
      </c>
      <c r="C155" s="4" t="s">
        <v>94</v>
      </c>
      <c r="D155" s="4" t="s">
        <v>310</v>
      </c>
      <c r="E155" s="4" t="s">
        <v>63</v>
      </c>
      <c r="F155" s="4" t="s">
        <v>57</v>
      </c>
      <c r="G155" s="4" t="s">
        <v>434</v>
      </c>
      <c r="H155" s="4" t="s">
        <v>365</v>
      </c>
      <c r="I155" s="4" t="s">
        <v>819</v>
      </c>
      <c r="J155" s="4" t="s">
        <v>418</v>
      </c>
      <c r="K155" s="4" t="s">
        <v>820</v>
      </c>
      <c r="L155" s="4" t="n">
        <v>2000</v>
      </c>
      <c r="M155" s="14" t="n">
        <v>1736</v>
      </c>
    </row>
    <row r="156" customFormat="false" ht="14.25" hidden="false" customHeight="false" outlineLevel="0" collapsed="false">
      <c r="A156" s="11" t="s">
        <v>821</v>
      </c>
      <c r="B156" s="2" t="s">
        <v>103</v>
      </c>
      <c r="C156" s="2" t="s">
        <v>104</v>
      </c>
      <c r="D156" s="2" t="s">
        <v>537</v>
      </c>
      <c r="E156" s="2" t="s">
        <v>320</v>
      </c>
      <c r="F156" s="2" t="s">
        <v>24</v>
      </c>
      <c r="G156" s="2" t="s">
        <v>226</v>
      </c>
      <c r="H156" s="2" t="s">
        <v>281</v>
      </c>
      <c r="I156" s="2" t="s">
        <v>822</v>
      </c>
      <c r="J156" s="2" t="s">
        <v>823</v>
      </c>
      <c r="K156" s="2" t="s">
        <v>824</v>
      </c>
      <c r="L156" s="2" t="n">
        <v>4000</v>
      </c>
      <c r="M156" s="12" t="n">
        <v>3665</v>
      </c>
    </row>
    <row r="157" customFormat="false" ht="14.25" hidden="false" customHeight="false" outlineLevel="0" collapsed="false">
      <c r="A157" s="13" t="s">
        <v>825</v>
      </c>
      <c r="B157" s="4" t="s">
        <v>116</v>
      </c>
      <c r="C157" s="4" t="s">
        <v>117</v>
      </c>
      <c r="D157" s="4" t="s">
        <v>826</v>
      </c>
      <c r="E157" s="4" t="s">
        <v>458</v>
      </c>
      <c r="F157" s="4" t="s">
        <v>71</v>
      </c>
      <c r="G157" s="4" t="s">
        <v>175</v>
      </c>
      <c r="H157" s="4" t="s">
        <v>239</v>
      </c>
      <c r="I157" s="4" t="s">
        <v>827</v>
      </c>
      <c r="J157" s="4" t="s">
        <v>828</v>
      </c>
      <c r="K157" s="4" t="s">
        <v>829</v>
      </c>
      <c r="L157" s="4" t="n">
        <v>5000</v>
      </c>
      <c r="M157" s="14"/>
    </row>
    <row r="158" customFormat="false" ht="14.25" hidden="false" customHeight="false" outlineLevel="0" collapsed="false">
      <c r="A158" s="11" t="s">
        <v>830</v>
      </c>
      <c r="B158" s="2" t="s">
        <v>108</v>
      </c>
      <c r="C158" s="2" t="s">
        <v>109</v>
      </c>
      <c r="D158" s="2" t="s">
        <v>831</v>
      </c>
      <c r="E158" s="2" t="s">
        <v>76</v>
      </c>
      <c r="F158" s="2" t="s">
        <v>6</v>
      </c>
      <c r="G158" s="2" t="s">
        <v>243</v>
      </c>
      <c r="H158" s="2" t="s">
        <v>281</v>
      </c>
      <c r="I158" s="2" t="s">
        <v>832</v>
      </c>
      <c r="J158" s="2" t="s">
        <v>833</v>
      </c>
      <c r="K158" s="2" t="s">
        <v>834</v>
      </c>
      <c r="L158" s="2" t="n">
        <v>2500</v>
      </c>
      <c r="M158" s="12" t="n">
        <v>3431</v>
      </c>
    </row>
    <row r="159" customFormat="false" ht="14.25" hidden="false" customHeight="false" outlineLevel="0" collapsed="false">
      <c r="A159" s="13" t="s">
        <v>835</v>
      </c>
      <c r="B159" s="4" t="s">
        <v>147</v>
      </c>
      <c r="C159" s="4" t="s">
        <v>148</v>
      </c>
      <c r="D159" s="4" t="s">
        <v>462</v>
      </c>
      <c r="E159" s="4" t="s">
        <v>44</v>
      </c>
      <c r="F159" s="4" t="s">
        <v>33</v>
      </c>
      <c r="G159" s="4" t="s">
        <v>189</v>
      </c>
      <c r="H159" s="4" t="s">
        <v>239</v>
      </c>
      <c r="I159" s="4" t="s">
        <v>836</v>
      </c>
      <c r="J159" s="4" t="s">
        <v>837</v>
      </c>
      <c r="K159" s="4" t="s">
        <v>838</v>
      </c>
      <c r="L159" s="4" t="n">
        <v>1500</v>
      </c>
      <c r="M159" s="14" t="n">
        <v>1522</v>
      </c>
    </row>
    <row r="160" customFormat="false" ht="14.25" hidden="false" customHeight="false" outlineLevel="0" collapsed="false">
      <c r="A160" s="11" t="s">
        <v>839</v>
      </c>
      <c r="B160" s="2" t="s">
        <v>147</v>
      </c>
      <c r="C160" s="2" t="s">
        <v>148</v>
      </c>
      <c r="D160" s="2" t="s">
        <v>840</v>
      </c>
      <c r="E160" s="2" t="s">
        <v>458</v>
      </c>
      <c r="F160" s="2" t="s">
        <v>71</v>
      </c>
      <c r="G160" s="2" t="s">
        <v>243</v>
      </c>
      <c r="H160" s="2" t="s">
        <v>183</v>
      </c>
      <c r="I160" s="2" t="s">
        <v>841</v>
      </c>
      <c r="J160" s="2" t="s">
        <v>842</v>
      </c>
      <c r="K160" s="2" t="s">
        <v>843</v>
      </c>
      <c r="L160" s="2" t="n">
        <v>6000</v>
      </c>
      <c r="M160" s="12" t="n">
        <v>4767</v>
      </c>
    </row>
    <row r="161" customFormat="false" ht="14.25" hidden="false" customHeight="false" outlineLevel="0" collapsed="false">
      <c r="A161" s="13" t="s">
        <v>844</v>
      </c>
      <c r="B161" s="4" t="s">
        <v>98</v>
      </c>
      <c r="C161" s="4" t="s">
        <v>99</v>
      </c>
      <c r="D161" s="4" t="s">
        <v>845</v>
      </c>
      <c r="E161" s="4" t="s">
        <v>364</v>
      </c>
      <c r="F161" s="4" t="s">
        <v>47</v>
      </c>
      <c r="G161" s="4" t="s">
        <v>169</v>
      </c>
      <c r="H161" s="4" t="s">
        <v>239</v>
      </c>
      <c r="I161" s="4" t="s">
        <v>846</v>
      </c>
      <c r="J161" s="4" t="s">
        <v>389</v>
      </c>
      <c r="K161" s="4" t="s">
        <v>847</v>
      </c>
      <c r="L161" s="4" t="n">
        <v>10000</v>
      </c>
      <c r="M161" s="14" t="n">
        <v>13448</v>
      </c>
    </row>
    <row r="162" customFormat="false" ht="14.25" hidden="false" customHeight="false" outlineLevel="0" collapsed="false">
      <c r="A162" s="11" t="s">
        <v>848</v>
      </c>
      <c r="B162" s="2" t="s">
        <v>93</v>
      </c>
      <c r="C162" s="2" t="s">
        <v>94</v>
      </c>
      <c r="D162" s="2" t="s">
        <v>396</v>
      </c>
      <c r="E162" s="2"/>
      <c r="F162" s="2" t="s">
        <v>40</v>
      </c>
      <c r="G162" s="2" t="s">
        <v>434</v>
      </c>
      <c r="H162" s="2" t="s">
        <v>227</v>
      </c>
      <c r="I162" s="2" t="s">
        <v>849</v>
      </c>
      <c r="J162" s="2" t="s">
        <v>850</v>
      </c>
      <c r="K162" s="2"/>
      <c r="L162" s="2" t="n">
        <v>10000</v>
      </c>
      <c r="M162" s="12" t="n">
        <v>5205</v>
      </c>
    </row>
    <row r="163" customFormat="false" ht="14.25" hidden="false" customHeight="false" outlineLevel="0" collapsed="false">
      <c r="A163" s="13" t="s">
        <v>851</v>
      </c>
      <c r="B163" s="4" t="s">
        <v>112</v>
      </c>
      <c r="C163" s="4" t="s">
        <v>113</v>
      </c>
      <c r="D163" s="4" t="s">
        <v>852</v>
      </c>
      <c r="E163" s="4" t="s">
        <v>335</v>
      </c>
      <c r="F163" s="4" t="s">
        <v>853</v>
      </c>
      <c r="G163" s="4" t="s">
        <v>200</v>
      </c>
      <c r="H163" s="4" t="s">
        <v>239</v>
      </c>
      <c r="I163" s="4" t="s">
        <v>854</v>
      </c>
      <c r="J163" s="4" t="s">
        <v>855</v>
      </c>
      <c r="K163" s="4" t="s">
        <v>695</v>
      </c>
      <c r="L163" s="4" t="n">
        <v>6000</v>
      </c>
      <c r="M163" s="14" t="n">
        <v>5228</v>
      </c>
    </row>
    <row r="164" customFormat="false" ht="14.25" hidden="false" customHeight="false" outlineLevel="0" collapsed="false">
      <c r="A164" s="11" t="s">
        <v>856</v>
      </c>
      <c r="B164" s="2" t="s">
        <v>112</v>
      </c>
      <c r="C164" s="2" t="s">
        <v>113</v>
      </c>
      <c r="D164" s="2" t="s">
        <v>857</v>
      </c>
      <c r="E164" s="2" t="s">
        <v>260</v>
      </c>
      <c r="F164" s="2" t="s">
        <v>73</v>
      </c>
      <c r="G164" s="2" t="s">
        <v>162</v>
      </c>
      <c r="H164" s="2" t="s">
        <v>212</v>
      </c>
      <c r="I164" s="2" t="s">
        <v>858</v>
      </c>
      <c r="J164" s="2" t="s">
        <v>859</v>
      </c>
      <c r="K164" s="2"/>
      <c r="L164" s="2" t="n">
        <v>10000</v>
      </c>
      <c r="M164" s="12" t="n">
        <v>3846</v>
      </c>
    </row>
    <row r="165" customFormat="false" ht="14.25" hidden="false" customHeight="false" outlineLevel="0" collapsed="false">
      <c r="A165" s="13" t="s">
        <v>860</v>
      </c>
      <c r="B165" s="4" t="s">
        <v>108</v>
      </c>
      <c r="C165" s="4" t="s">
        <v>109</v>
      </c>
      <c r="D165" s="4" t="s">
        <v>861</v>
      </c>
      <c r="E165" s="4" t="s">
        <v>181</v>
      </c>
      <c r="F165" s="4" t="s">
        <v>862</v>
      </c>
      <c r="G165" s="4" t="s">
        <v>182</v>
      </c>
      <c r="H165" s="4" t="s">
        <v>212</v>
      </c>
      <c r="I165" s="4" t="s">
        <v>863</v>
      </c>
      <c r="J165" s="4" t="s">
        <v>499</v>
      </c>
      <c r="K165" s="4"/>
      <c r="L165" s="4" t="n">
        <v>1500</v>
      </c>
      <c r="M165" s="14" t="n">
        <v>1055</v>
      </c>
    </row>
    <row r="166" customFormat="false" ht="14.25" hidden="false" customHeight="false" outlineLevel="0" collapsed="false">
      <c r="A166" s="11" t="s">
        <v>864</v>
      </c>
      <c r="B166" s="2" t="s">
        <v>120</v>
      </c>
      <c r="C166" s="2" t="s">
        <v>121</v>
      </c>
      <c r="D166" s="2" t="s">
        <v>314</v>
      </c>
      <c r="E166" s="2" t="s">
        <v>349</v>
      </c>
      <c r="F166" s="2" t="s">
        <v>71</v>
      </c>
      <c r="G166" s="2" t="s">
        <v>206</v>
      </c>
      <c r="H166" s="2" t="s">
        <v>249</v>
      </c>
      <c r="I166" s="2" t="s">
        <v>865</v>
      </c>
      <c r="J166" s="2" t="s">
        <v>866</v>
      </c>
      <c r="K166" s="2" t="s">
        <v>866</v>
      </c>
      <c r="L166" s="2" t="n">
        <v>10000</v>
      </c>
      <c r="M166" s="12" t="n">
        <v>8702</v>
      </c>
    </row>
    <row r="167" customFormat="false" ht="14.25" hidden="false" customHeight="false" outlineLevel="0" collapsed="false">
      <c r="A167" s="13" t="s">
        <v>867</v>
      </c>
      <c r="B167" s="4" t="s">
        <v>129</v>
      </c>
      <c r="C167" s="4" t="s">
        <v>130</v>
      </c>
      <c r="D167" s="4" t="s">
        <v>611</v>
      </c>
      <c r="E167" s="4" t="s">
        <v>631</v>
      </c>
      <c r="F167" s="4" t="s">
        <v>43</v>
      </c>
      <c r="G167" s="4" t="s">
        <v>200</v>
      </c>
      <c r="H167" s="4" t="s">
        <v>219</v>
      </c>
      <c r="I167" s="4" t="s">
        <v>682</v>
      </c>
      <c r="J167" s="4" t="s">
        <v>868</v>
      </c>
      <c r="K167" s="4" t="s">
        <v>869</v>
      </c>
      <c r="L167" s="4" t="n">
        <v>3000</v>
      </c>
      <c r="M167" s="14" t="n">
        <v>2904</v>
      </c>
    </row>
    <row r="168" customFormat="false" ht="14.25" hidden="false" customHeight="false" outlineLevel="0" collapsed="false">
      <c r="A168" s="11" t="s">
        <v>870</v>
      </c>
      <c r="B168" s="2" t="s">
        <v>133</v>
      </c>
      <c r="C168" s="2" t="s">
        <v>134</v>
      </c>
      <c r="D168" s="2" t="s">
        <v>871</v>
      </c>
      <c r="E168" s="2" t="s">
        <v>44</v>
      </c>
      <c r="F168" s="2" t="s">
        <v>69</v>
      </c>
      <c r="G168" s="2" t="s">
        <v>189</v>
      </c>
      <c r="H168" s="2" t="s">
        <v>281</v>
      </c>
      <c r="I168" s="2" t="s">
        <v>872</v>
      </c>
      <c r="J168" s="2" t="s">
        <v>873</v>
      </c>
      <c r="K168" s="2" t="s">
        <v>360</v>
      </c>
      <c r="L168" s="2" t="n">
        <v>6000</v>
      </c>
      <c r="M168" s="12" t="n">
        <v>8007</v>
      </c>
    </row>
    <row r="169" customFormat="false" ht="14.25" hidden="false" customHeight="false" outlineLevel="0" collapsed="false">
      <c r="A169" s="13" t="s">
        <v>874</v>
      </c>
      <c r="B169" s="4" t="s">
        <v>143</v>
      </c>
      <c r="C169" s="4" t="s">
        <v>144</v>
      </c>
      <c r="D169" s="4" t="s">
        <v>875</v>
      </c>
      <c r="E169" s="4" t="s">
        <v>254</v>
      </c>
      <c r="F169" s="4" t="s">
        <v>81</v>
      </c>
      <c r="G169" s="4" t="s">
        <v>275</v>
      </c>
      <c r="H169" s="4" t="s">
        <v>170</v>
      </c>
      <c r="I169" s="4" t="s">
        <v>876</v>
      </c>
      <c r="J169" s="4" t="s">
        <v>877</v>
      </c>
      <c r="K169" s="4"/>
      <c r="L169" s="4" t="n">
        <v>8000</v>
      </c>
      <c r="M169" s="14"/>
    </row>
    <row r="170" customFormat="false" ht="14.25" hidden="false" customHeight="false" outlineLevel="0" collapsed="false">
      <c r="A170" s="11" t="s">
        <v>878</v>
      </c>
      <c r="B170" s="2" t="s">
        <v>125</v>
      </c>
      <c r="C170" s="2" t="s">
        <v>126</v>
      </c>
      <c r="D170" s="2" t="s">
        <v>879</v>
      </c>
      <c r="E170" s="2" t="s">
        <v>392</v>
      </c>
      <c r="F170" s="2" t="s">
        <v>47</v>
      </c>
      <c r="G170" s="2" t="s">
        <v>218</v>
      </c>
      <c r="H170" s="2" t="s">
        <v>412</v>
      </c>
      <c r="I170" s="2" t="s">
        <v>880</v>
      </c>
      <c r="J170" s="2" t="s">
        <v>854</v>
      </c>
      <c r="K170" s="2" t="s">
        <v>881</v>
      </c>
      <c r="L170" s="2" t="n">
        <v>5000</v>
      </c>
      <c r="M170" s="12" t="n">
        <v>5985</v>
      </c>
    </row>
    <row r="171" customFormat="false" ht="14.25" hidden="false" customHeight="false" outlineLevel="0" collapsed="false">
      <c r="A171" s="13" t="s">
        <v>882</v>
      </c>
      <c r="B171" s="4" t="s">
        <v>147</v>
      </c>
      <c r="C171" s="4" t="s">
        <v>148</v>
      </c>
      <c r="D171" s="4" t="s">
        <v>883</v>
      </c>
      <c r="E171" s="4" t="s">
        <v>260</v>
      </c>
      <c r="F171" s="4" t="s">
        <v>47</v>
      </c>
      <c r="G171" s="4" t="s">
        <v>162</v>
      </c>
      <c r="H171" s="4" t="s">
        <v>244</v>
      </c>
      <c r="I171" s="4" t="s">
        <v>196</v>
      </c>
      <c r="J171" s="4" t="s">
        <v>884</v>
      </c>
      <c r="K171" s="4"/>
      <c r="L171" s="4" t="n">
        <v>2500</v>
      </c>
      <c r="M171" s="14" t="n">
        <v>1707</v>
      </c>
    </row>
    <row r="172" customFormat="false" ht="14.25" hidden="false" customHeight="false" outlineLevel="0" collapsed="false">
      <c r="A172" s="11" t="s">
        <v>885</v>
      </c>
      <c r="B172" s="2" t="s">
        <v>136</v>
      </c>
      <c r="C172" s="2" t="s">
        <v>137</v>
      </c>
      <c r="D172" s="2" t="s">
        <v>886</v>
      </c>
      <c r="E172" s="2" t="s">
        <v>181</v>
      </c>
      <c r="F172" s="2" t="s">
        <v>66</v>
      </c>
      <c r="G172" s="2" t="s">
        <v>434</v>
      </c>
      <c r="H172" s="2" t="s">
        <v>290</v>
      </c>
      <c r="I172" s="2" t="s">
        <v>705</v>
      </c>
      <c r="J172" s="2" t="s">
        <v>696</v>
      </c>
      <c r="K172" s="2" t="s">
        <v>887</v>
      </c>
      <c r="L172" s="2" t="n">
        <v>2000</v>
      </c>
      <c r="M172" s="12" t="n">
        <v>2260</v>
      </c>
    </row>
    <row r="173" customFormat="false" ht="14.25" hidden="false" customHeight="false" outlineLevel="0" collapsed="false">
      <c r="A173" s="13" t="s">
        <v>888</v>
      </c>
      <c r="B173" s="4" t="s">
        <v>120</v>
      </c>
      <c r="C173" s="4" t="s">
        <v>121</v>
      </c>
      <c r="D173" s="4" t="s">
        <v>635</v>
      </c>
      <c r="E173" s="4" t="s">
        <v>335</v>
      </c>
      <c r="F173" s="4" t="s">
        <v>12</v>
      </c>
      <c r="G173" s="4" t="s">
        <v>175</v>
      </c>
      <c r="H173" s="4" t="s">
        <v>219</v>
      </c>
      <c r="I173" s="4" t="s">
        <v>889</v>
      </c>
      <c r="J173" s="4" t="s">
        <v>107</v>
      </c>
      <c r="K173" s="4" t="s">
        <v>671</v>
      </c>
      <c r="L173" s="4" t="n">
        <v>10000</v>
      </c>
      <c r="M173" s="14" t="n">
        <v>11467</v>
      </c>
    </row>
    <row r="174" customFormat="false" ht="14.25" hidden="false" customHeight="false" outlineLevel="0" collapsed="false">
      <c r="A174" s="11" t="s">
        <v>890</v>
      </c>
      <c r="B174" s="2" t="s">
        <v>120</v>
      </c>
      <c r="C174" s="2" t="s">
        <v>121</v>
      </c>
      <c r="D174" s="2" t="s">
        <v>891</v>
      </c>
      <c r="E174" s="2" t="s">
        <v>76</v>
      </c>
      <c r="F174" s="2" t="s">
        <v>625</v>
      </c>
      <c r="G174" s="2" t="s">
        <v>169</v>
      </c>
      <c r="H174" s="2" t="s">
        <v>170</v>
      </c>
      <c r="I174" s="2" t="s">
        <v>708</v>
      </c>
      <c r="J174" s="2" t="s">
        <v>892</v>
      </c>
      <c r="K174" s="2"/>
      <c r="L174" s="2" t="n">
        <v>8000</v>
      </c>
      <c r="M174" s="12" t="n">
        <v>3789</v>
      </c>
    </row>
    <row r="175" customFormat="false" ht="14.25" hidden="false" customHeight="false" outlineLevel="0" collapsed="false">
      <c r="A175" s="13" t="s">
        <v>893</v>
      </c>
      <c r="B175" s="4" t="s">
        <v>98</v>
      </c>
      <c r="C175" s="4" t="s">
        <v>99</v>
      </c>
      <c r="D175" s="4" t="s">
        <v>894</v>
      </c>
      <c r="E175" s="4" t="s">
        <v>335</v>
      </c>
      <c r="F175" s="4" t="s">
        <v>15</v>
      </c>
      <c r="G175" s="4" t="s">
        <v>189</v>
      </c>
      <c r="H175" s="4" t="s">
        <v>183</v>
      </c>
      <c r="I175" s="4" t="s">
        <v>895</v>
      </c>
      <c r="J175" s="4" t="s">
        <v>896</v>
      </c>
      <c r="K175" s="4" t="s">
        <v>897</v>
      </c>
      <c r="L175" s="4" t="n">
        <v>2500</v>
      </c>
      <c r="M175" s="14" t="n">
        <v>3247</v>
      </c>
    </row>
    <row r="176" customFormat="false" ht="14.25" hidden="false" customHeight="false" outlineLevel="0" collapsed="false">
      <c r="A176" s="11" t="s">
        <v>898</v>
      </c>
      <c r="B176" s="2" t="s">
        <v>133</v>
      </c>
      <c r="C176" s="2" t="s">
        <v>134</v>
      </c>
      <c r="D176" s="2" t="s">
        <v>899</v>
      </c>
      <c r="E176" s="2" t="s">
        <v>335</v>
      </c>
      <c r="F176" s="2" t="s">
        <v>29</v>
      </c>
      <c r="G176" s="2" t="s">
        <v>434</v>
      </c>
      <c r="H176" s="2" t="s">
        <v>276</v>
      </c>
      <c r="I176" s="2" t="s">
        <v>544</v>
      </c>
      <c r="J176" s="2" t="s">
        <v>900</v>
      </c>
      <c r="K176" s="2"/>
      <c r="L176" s="2" t="n">
        <v>6000</v>
      </c>
      <c r="M176" s="12" t="n">
        <v>0</v>
      </c>
    </row>
    <row r="177" customFormat="false" ht="14.25" hidden="false" customHeight="false" outlineLevel="0" collapsed="false">
      <c r="A177" s="13" t="s">
        <v>901</v>
      </c>
      <c r="B177" s="4" t="s">
        <v>133</v>
      </c>
      <c r="C177" s="4" t="s">
        <v>134</v>
      </c>
      <c r="D177" s="4" t="s">
        <v>231</v>
      </c>
      <c r="E177" s="4" t="s">
        <v>7</v>
      </c>
      <c r="F177" s="4" t="s">
        <v>6</v>
      </c>
      <c r="G177" s="4" t="s">
        <v>289</v>
      </c>
      <c r="H177" s="4" t="s">
        <v>227</v>
      </c>
      <c r="I177" s="4" t="s">
        <v>902</v>
      </c>
      <c r="J177" s="4" t="s">
        <v>903</v>
      </c>
      <c r="K177" s="4"/>
      <c r="L177" s="4" t="n">
        <v>6000</v>
      </c>
      <c r="M177" s="14" t="n">
        <v>4502</v>
      </c>
    </row>
    <row r="178" customFormat="false" ht="14.25" hidden="false" customHeight="false" outlineLevel="0" collapsed="false">
      <c r="A178" s="11" t="s">
        <v>904</v>
      </c>
      <c r="B178" s="2" t="s">
        <v>133</v>
      </c>
      <c r="C178" s="2" t="s">
        <v>134</v>
      </c>
      <c r="D178" s="2" t="s">
        <v>905</v>
      </c>
      <c r="E178" s="2" t="s">
        <v>458</v>
      </c>
      <c r="F178" s="2" t="s">
        <v>29</v>
      </c>
      <c r="G178" s="2" t="s">
        <v>289</v>
      </c>
      <c r="H178" s="2" t="s">
        <v>281</v>
      </c>
      <c r="I178" s="2" t="s">
        <v>906</v>
      </c>
      <c r="J178" s="2" t="s">
        <v>907</v>
      </c>
      <c r="K178" s="2" t="s">
        <v>908</v>
      </c>
      <c r="L178" s="2" t="n">
        <v>6000</v>
      </c>
      <c r="M178" s="12" t="n">
        <v>4468</v>
      </c>
    </row>
    <row r="179" customFormat="false" ht="14.25" hidden="false" customHeight="false" outlineLevel="0" collapsed="false">
      <c r="A179" s="13" t="s">
        <v>909</v>
      </c>
      <c r="B179" s="4" t="s">
        <v>140</v>
      </c>
      <c r="C179" s="4" t="s">
        <v>141</v>
      </c>
      <c r="D179" s="4" t="s">
        <v>910</v>
      </c>
      <c r="E179" s="4" t="s">
        <v>458</v>
      </c>
      <c r="F179" s="4" t="s">
        <v>57</v>
      </c>
      <c r="G179" s="4" t="s">
        <v>434</v>
      </c>
      <c r="H179" s="4" t="s">
        <v>365</v>
      </c>
      <c r="I179" s="4" t="s">
        <v>911</v>
      </c>
      <c r="J179" s="4" t="s">
        <v>912</v>
      </c>
      <c r="K179" s="4" t="s">
        <v>913</v>
      </c>
      <c r="L179" s="4" t="n">
        <v>1500</v>
      </c>
      <c r="M179" s="14" t="n">
        <v>1849</v>
      </c>
    </row>
    <row r="180" customFormat="false" ht="14.25" hidden="false" customHeight="false" outlineLevel="0" collapsed="false">
      <c r="A180" s="11" t="s">
        <v>914</v>
      </c>
      <c r="B180" s="2" t="s">
        <v>143</v>
      </c>
      <c r="C180" s="2" t="s">
        <v>144</v>
      </c>
      <c r="D180" s="2" t="s">
        <v>915</v>
      </c>
      <c r="E180" s="2" t="s">
        <v>161</v>
      </c>
      <c r="F180" s="2" t="s">
        <v>60</v>
      </c>
      <c r="G180" s="2" t="s">
        <v>218</v>
      </c>
      <c r="H180" s="2" t="s">
        <v>219</v>
      </c>
      <c r="I180" s="2" t="s">
        <v>916</v>
      </c>
      <c r="J180" s="2" t="s">
        <v>754</v>
      </c>
      <c r="K180" s="2" t="s">
        <v>859</v>
      </c>
      <c r="L180" s="2" t="n">
        <v>6000</v>
      </c>
      <c r="M180" s="12" t="n">
        <v>7063</v>
      </c>
    </row>
    <row r="181" customFormat="false" ht="14.25" hidden="false" customHeight="false" outlineLevel="0" collapsed="false">
      <c r="A181" s="13" t="s">
        <v>381</v>
      </c>
      <c r="B181" s="4" t="s">
        <v>116</v>
      </c>
      <c r="C181" s="4" t="s">
        <v>117</v>
      </c>
      <c r="D181" s="4" t="s">
        <v>382</v>
      </c>
      <c r="E181" s="4" t="s">
        <v>7</v>
      </c>
      <c r="F181" s="4" t="s">
        <v>47</v>
      </c>
      <c r="G181" s="4" t="s">
        <v>175</v>
      </c>
      <c r="H181" s="4" t="s">
        <v>219</v>
      </c>
      <c r="I181" s="4" t="s">
        <v>383</v>
      </c>
      <c r="J181" s="4" t="s">
        <v>384</v>
      </c>
      <c r="K181" s="4" t="s">
        <v>385</v>
      </c>
      <c r="L181" s="4" t="n">
        <v>1500</v>
      </c>
      <c r="M181" s="14" t="n">
        <v>1674</v>
      </c>
    </row>
    <row r="182" customFormat="false" ht="14.25" hidden="false" customHeight="false" outlineLevel="0" collapsed="false">
      <c r="A182" s="11" t="s">
        <v>917</v>
      </c>
      <c r="B182" s="2" t="s">
        <v>98</v>
      </c>
      <c r="C182" s="2" t="s">
        <v>99</v>
      </c>
      <c r="D182" s="2" t="s">
        <v>288</v>
      </c>
      <c r="E182" s="2" t="s">
        <v>371</v>
      </c>
      <c r="F182" s="2" t="s">
        <v>33</v>
      </c>
      <c r="G182" s="2" t="s">
        <v>289</v>
      </c>
      <c r="H182" s="2" t="s">
        <v>249</v>
      </c>
      <c r="I182" s="2" t="s">
        <v>859</v>
      </c>
      <c r="J182" s="2" t="s">
        <v>918</v>
      </c>
      <c r="K182" s="2" t="s">
        <v>918</v>
      </c>
      <c r="L182" s="2" t="n">
        <v>3000</v>
      </c>
      <c r="M182" s="12" t="n">
        <v>3668</v>
      </c>
    </row>
    <row r="183" customFormat="false" ht="14.25" hidden="false" customHeight="false" outlineLevel="0" collapsed="false">
      <c r="A183" s="13" t="s">
        <v>919</v>
      </c>
      <c r="B183" s="4" t="s">
        <v>133</v>
      </c>
      <c r="C183" s="4" t="s">
        <v>134</v>
      </c>
      <c r="D183" s="4" t="s">
        <v>555</v>
      </c>
      <c r="E183" s="4" t="s">
        <v>161</v>
      </c>
      <c r="F183" s="4"/>
      <c r="G183" s="4" t="s">
        <v>243</v>
      </c>
      <c r="H183" s="4" t="s">
        <v>227</v>
      </c>
      <c r="I183" s="4" t="s">
        <v>920</v>
      </c>
      <c r="J183" s="4" t="s">
        <v>921</v>
      </c>
      <c r="K183" s="4"/>
      <c r="L183" s="4" t="n">
        <v>6000</v>
      </c>
      <c r="M183" s="14" t="n">
        <v>2288</v>
      </c>
    </row>
    <row r="184" customFormat="false" ht="14.25" hidden="false" customHeight="false" outlineLevel="0" collapsed="false">
      <c r="A184" s="11" t="s">
        <v>774</v>
      </c>
      <c r="B184" s="2" t="s">
        <v>136</v>
      </c>
      <c r="C184" s="2" t="s">
        <v>137</v>
      </c>
      <c r="D184" s="2" t="s">
        <v>775</v>
      </c>
      <c r="E184" s="2" t="s">
        <v>458</v>
      </c>
      <c r="F184" s="2" t="s">
        <v>18</v>
      </c>
      <c r="G184" s="2" t="s">
        <v>275</v>
      </c>
      <c r="H184" s="2" t="s">
        <v>212</v>
      </c>
      <c r="I184" s="2" t="s">
        <v>776</v>
      </c>
      <c r="J184" s="2" t="s">
        <v>332</v>
      </c>
      <c r="K184" s="2"/>
      <c r="L184" s="2" t="n">
        <v>10000</v>
      </c>
      <c r="M184" s="12" t="n">
        <v>6014</v>
      </c>
    </row>
    <row r="185" customFormat="false" ht="14.25" hidden="false" customHeight="false" outlineLevel="0" collapsed="false">
      <c r="A185" s="13" t="s">
        <v>922</v>
      </c>
      <c r="B185" s="4" t="s">
        <v>116</v>
      </c>
      <c r="C185" s="4" t="s">
        <v>117</v>
      </c>
      <c r="D185" s="4" t="s">
        <v>845</v>
      </c>
      <c r="E185" s="4" t="s">
        <v>254</v>
      </c>
      <c r="F185" s="4" t="s">
        <v>60</v>
      </c>
      <c r="G185" s="4" t="s">
        <v>226</v>
      </c>
      <c r="H185" s="4" t="s">
        <v>219</v>
      </c>
      <c r="I185" s="4" t="s">
        <v>389</v>
      </c>
      <c r="J185" s="4" t="s">
        <v>671</v>
      </c>
      <c r="K185" s="4" t="s">
        <v>923</v>
      </c>
      <c r="L185" s="4" t="n">
        <v>8000</v>
      </c>
      <c r="M185" s="14" t="n">
        <v>7926</v>
      </c>
    </row>
    <row r="186" customFormat="false" ht="14.25" hidden="false" customHeight="false" outlineLevel="0" collapsed="false">
      <c r="A186" s="11" t="s">
        <v>924</v>
      </c>
      <c r="B186" s="2" t="s">
        <v>98</v>
      </c>
      <c r="C186" s="2" t="s">
        <v>99</v>
      </c>
      <c r="D186" s="2" t="s">
        <v>879</v>
      </c>
      <c r="E186" s="2" t="s">
        <v>631</v>
      </c>
      <c r="F186" s="2" t="s">
        <v>69</v>
      </c>
      <c r="G186" s="2" t="s">
        <v>162</v>
      </c>
      <c r="H186" s="2" t="s">
        <v>176</v>
      </c>
      <c r="I186" s="2" t="s">
        <v>925</v>
      </c>
      <c r="J186" s="2" t="s">
        <v>926</v>
      </c>
      <c r="K186" s="2"/>
      <c r="L186" s="2" t="n">
        <v>6000</v>
      </c>
      <c r="M186" s="12" t="n">
        <v>4444</v>
      </c>
    </row>
    <row r="187" customFormat="false" ht="14.25" hidden="false" customHeight="false" outlineLevel="0" collapsed="false">
      <c r="A187" s="13" t="s">
        <v>927</v>
      </c>
      <c r="B187" s="4" t="s">
        <v>93</v>
      </c>
      <c r="C187" s="4" t="s">
        <v>94</v>
      </c>
      <c r="D187" s="4" t="s">
        <v>652</v>
      </c>
      <c r="E187" s="4" t="s">
        <v>392</v>
      </c>
      <c r="F187" s="4" t="s">
        <v>79</v>
      </c>
      <c r="G187" s="4" t="s">
        <v>289</v>
      </c>
      <c r="H187" s="4" t="s">
        <v>281</v>
      </c>
      <c r="I187" s="4" t="s">
        <v>719</v>
      </c>
      <c r="J187" s="4" t="s">
        <v>796</v>
      </c>
      <c r="K187" s="4" t="s">
        <v>796</v>
      </c>
      <c r="L187" s="4" t="n">
        <v>2500</v>
      </c>
      <c r="M187" s="14" t="n">
        <v>2645</v>
      </c>
    </row>
    <row r="188" customFormat="false" ht="14.25" hidden="false" customHeight="false" outlineLevel="0" collapsed="false">
      <c r="A188" s="11" t="s">
        <v>928</v>
      </c>
      <c r="B188" s="2" t="s">
        <v>103</v>
      </c>
      <c r="C188" s="2" t="s">
        <v>104</v>
      </c>
      <c r="D188" s="2" t="s">
        <v>503</v>
      </c>
      <c r="E188" s="2" t="s">
        <v>63</v>
      </c>
      <c r="F188" s="2" t="s">
        <v>33</v>
      </c>
      <c r="G188" s="2" t="s">
        <v>226</v>
      </c>
      <c r="H188" s="2" t="s">
        <v>249</v>
      </c>
      <c r="I188" s="2" t="s">
        <v>929</v>
      </c>
      <c r="J188" s="2" t="s">
        <v>930</v>
      </c>
      <c r="K188" s="2" t="s">
        <v>931</v>
      </c>
      <c r="L188" s="2" t="n">
        <v>6000</v>
      </c>
      <c r="M188" s="12" t="n">
        <v>8069</v>
      </c>
    </row>
    <row r="189" customFormat="false" ht="14.25" hidden="false" customHeight="false" outlineLevel="0" collapsed="false">
      <c r="A189" s="13" t="s">
        <v>932</v>
      </c>
      <c r="B189" s="4" t="s">
        <v>133</v>
      </c>
      <c r="C189" s="4" t="s">
        <v>134</v>
      </c>
      <c r="D189" s="4" t="s">
        <v>280</v>
      </c>
      <c r="E189" s="4" t="s">
        <v>260</v>
      </c>
      <c r="F189" s="4" t="s">
        <v>62</v>
      </c>
      <c r="G189" s="4" t="s">
        <v>175</v>
      </c>
      <c r="H189" s="4" t="s">
        <v>170</v>
      </c>
      <c r="I189" s="4" t="s">
        <v>195</v>
      </c>
      <c r="J189" s="4" t="s">
        <v>803</v>
      </c>
      <c r="K189" s="4"/>
      <c r="L189" s="4" t="n">
        <v>10000</v>
      </c>
      <c r="M189" s="14" t="n">
        <v>2194</v>
      </c>
    </row>
    <row r="190" customFormat="false" ht="14.25" hidden="false" customHeight="false" outlineLevel="0" collapsed="false">
      <c r="A190" s="11" t="s">
        <v>933</v>
      </c>
      <c r="B190" s="2" t="s">
        <v>140</v>
      </c>
      <c r="C190" s="2" t="s">
        <v>141</v>
      </c>
      <c r="D190" s="2" t="s">
        <v>934</v>
      </c>
      <c r="E190" s="2" t="s">
        <v>330</v>
      </c>
      <c r="F190" s="2" t="s">
        <v>62</v>
      </c>
      <c r="G190" s="2"/>
      <c r="H190" s="2" t="s">
        <v>201</v>
      </c>
      <c r="I190" s="2" t="s">
        <v>935</v>
      </c>
      <c r="J190" s="2" t="s">
        <v>460</v>
      </c>
      <c r="K190" s="2"/>
      <c r="L190" s="2" t="n">
        <v>3000</v>
      </c>
      <c r="M190" s="12"/>
    </row>
    <row r="191" customFormat="false" ht="14.25" hidden="false" customHeight="false" outlineLevel="0" collapsed="false">
      <c r="A191" s="13" t="s">
        <v>936</v>
      </c>
      <c r="B191" s="4" t="s">
        <v>143</v>
      </c>
      <c r="C191" s="4" t="s">
        <v>144</v>
      </c>
      <c r="D191" s="4" t="s">
        <v>937</v>
      </c>
      <c r="E191" s="4" t="s">
        <v>631</v>
      </c>
      <c r="F191" s="4" t="s">
        <v>12</v>
      </c>
      <c r="G191" s="4" t="s">
        <v>175</v>
      </c>
      <c r="H191" s="4" t="s">
        <v>219</v>
      </c>
      <c r="I191" s="4" t="s">
        <v>938</v>
      </c>
      <c r="J191" s="4" t="s">
        <v>939</v>
      </c>
      <c r="K191" s="4" t="s">
        <v>939</v>
      </c>
      <c r="L191" s="4" t="n">
        <v>8000</v>
      </c>
      <c r="M191" s="14" t="n">
        <v>6196</v>
      </c>
    </row>
    <row r="192" customFormat="false" ht="14.25" hidden="false" customHeight="false" outlineLevel="0" collapsed="false">
      <c r="A192" s="11" t="s">
        <v>940</v>
      </c>
      <c r="B192" s="2" t="s">
        <v>116</v>
      </c>
      <c r="C192" s="2" t="s">
        <v>117</v>
      </c>
      <c r="D192" s="2" t="s">
        <v>941</v>
      </c>
      <c r="E192" s="2" t="s">
        <v>21</v>
      </c>
      <c r="F192" s="2" t="s">
        <v>37</v>
      </c>
      <c r="G192" s="2" t="s">
        <v>200</v>
      </c>
      <c r="H192" s="2" t="s">
        <v>249</v>
      </c>
      <c r="I192" s="2" t="s">
        <v>942</v>
      </c>
      <c r="J192" s="2" t="s">
        <v>943</v>
      </c>
      <c r="K192" s="2" t="s">
        <v>943</v>
      </c>
      <c r="L192" s="2" t="n">
        <v>2500</v>
      </c>
      <c r="M192" s="12" t="n">
        <v>2183</v>
      </c>
    </row>
    <row r="193" customFormat="false" ht="14.25" hidden="false" customHeight="false" outlineLevel="0" collapsed="false">
      <c r="A193" s="13" t="s">
        <v>944</v>
      </c>
      <c r="B193" s="4" t="s">
        <v>143</v>
      </c>
      <c r="C193" s="4" t="s">
        <v>144</v>
      </c>
      <c r="D193" s="4" t="s">
        <v>193</v>
      </c>
      <c r="E193" s="4" t="s">
        <v>364</v>
      </c>
      <c r="F193" s="4" t="s">
        <v>31</v>
      </c>
      <c r="G193" s="4" t="s">
        <v>218</v>
      </c>
      <c r="H193" s="4" t="s">
        <v>201</v>
      </c>
      <c r="I193" s="4" t="s">
        <v>945</v>
      </c>
      <c r="J193" s="4" t="s">
        <v>946</v>
      </c>
      <c r="K193" s="4"/>
      <c r="L193" s="4" t="n">
        <v>8000</v>
      </c>
      <c r="M193" s="14" t="n">
        <v>0</v>
      </c>
    </row>
    <row r="194" customFormat="false" ht="14.25" hidden="false" customHeight="false" outlineLevel="0" collapsed="false">
      <c r="A194" s="11" t="s">
        <v>947</v>
      </c>
      <c r="B194" s="2" t="s">
        <v>120</v>
      </c>
      <c r="C194" s="2" t="s">
        <v>121</v>
      </c>
      <c r="D194" s="2" t="s">
        <v>948</v>
      </c>
      <c r="E194" s="2" t="s">
        <v>174</v>
      </c>
      <c r="F194" s="2" t="s">
        <v>20</v>
      </c>
      <c r="G194" s="2" t="s">
        <v>189</v>
      </c>
      <c r="H194" s="2" t="s">
        <v>244</v>
      </c>
      <c r="I194" s="2" t="s">
        <v>949</v>
      </c>
      <c r="J194" s="2" t="s">
        <v>950</v>
      </c>
      <c r="K194" s="2"/>
      <c r="L194" s="2" t="n">
        <v>2500</v>
      </c>
      <c r="M194" s="12" t="n">
        <v>1219</v>
      </c>
    </row>
    <row r="195" customFormat="false" ht="14.25" hidden="false" customHeight="false" outlineLevel="0" collapsed="false">
      <c r="A195" s="13" t="s">
        <v>951</v>
      </c>
      <c r="B195" s="4" t="s">
        <v>88</v>
      </c>
      <c r="C195" s="4" t="s">
        <v>89</v>
      </c>
      <c r="D195" s="4" t="s">
        <v>952</v>
      </c>
      <c r="E195" s="4" t="s">
        <v>320</v>
      </c>
      <c r="F195" s="4" t="s">
        <v>71</v>
      </c>
      <c r="G195" s="4" t="s">
        <v>189</v>
      </c>
      <c r="H195" s="4" t="s">
        <v>194</v>
      </c>
      <c r="I195" s="4" t="s">
        <v>953</v>
      </c>
      <c r="J195" s="4" t="s">
        <v>954</v>
      </c>
      <c r="K195" s="4" t="s">
        <v>955</v>
      </c>
      <c r="L195" s="4" t="n">
        <v>3000</v>
      </c>
      <c r="M195" s="14" t="n">
        <v>2434</v>
      </c>
    </row>
    <row r="196" customFormat="false" ht="14.25" hidden="false" customHeight="false" outlineLevel="0" collapsed="false">
      <c r="A196" s="11" t="s">
        <v>956</v>
      </c>
      <c r="B196" s="2" t="s">
        <v>125</v>
      </c>
      <c r="C196" s="2" t="s">
        <v>126</v>
      </c>
      <c r="D196" s="2" t="s">
        <v>814</v>
      </c>
      <c r="E196" s="2" t="s">
        <v>63</v>
      </c>
      <c r="F196" s="2" t="s">
        <v>12</v>
      </c>
      <c r="G196" s="2" t="s">
        <v>434</v>
      </c>
      <c r="H196" s="2" t="s">
        <v>170</v>
      </c>
      <c r="I196" s="2" t="s">
        <v>957</v>
      </c>
      <c r="J196" s="2" t="s">
        <v>958</v>
      </c>
      <c r="K196" s="2"/>
      <c r="L196" s="2" t="n">
        <v>6000</v>
      </c>
      <c r="M196" s="12" t="n">
        <v>4296</v>
      </c>
    </row>
    <row r="197" customFormat="false" ht="14.25" hidden="false" customHeight="false" outlineLevel="0" collapsed="false">
      <c r="A197" s="13" t="s">
        <v>959</v>
      </c>
      <c r="B197" s="4" t="s">
        <v>140</v>
      </c>
      <c r="C197" s="4" t="s">
        <v>141</v>
      </c>
      <c r="D197" s="4" t="s">
        <v>960</v>
      </c>
      <c r="E197" s="4" t="s">
        <v>44</v>
      </c>
      <c r="F197" s="4" t="s">
        <v>75</v>
      </c>
      <c r="G197" s="4" t="s">
        <v>289</v>
      </c>
      <c r="H197" s="4" t="s">
        <v>170</v>
      </c>
      <c r="I197" s="4" t="s">
        <v>961</v>
      </c>
      <c r="J197" s="4" t="s">
        <v>962</v>
      </c>
      <c r="K197" s="4"/>
      <c r="L197" s="4" t="n">
        <v>3000</v>
      </c>
      <c r="M197" s="14" t="n">
        <v>993</v>
      </c>
    </row>
    <row r="198" customFormat="false" ht="14.25" hidden="false" customHeight="false" outlineLevel="0" collapsed="false">
      <c r="A198" s="11" t="s">
        <v>963</v>
      </c>
      <c r="B198" s="2" t="s">
        <v>112</v>
      </c>
      <c r="C198" s="2" t="s">
        <v>113</v>
      </c>
      <c r="D198" s="2" t="s">
        <v>563</v>
      </c>
      <c r="E198" s="2" t="s">
        <v>364</v>
      </c>
      <c r="F198" s="2" t="s">
        <v>18</v>
      </c>
      <c r="G198" s="2"/>
      <c r="H198" s="2" t="s">
        <v>219</v>
      </c>
      <c r="I198" s="2" t="s">
        <v>964</v>
      </c>
      <c r="J198" s="2" t="s">
        <v>965</v>
      </c>
      <c r="K198" s="2" t="s">
        <v>695</v>
      </c>
      <c r="L198" s="2" t="n">
        <v>10000</v>
      </c>
      <c r="M198" s="12" t="n">
        <v>8274</v>
      </c>
    </row>
    <row r="199" customFormat="false" ht="14.25" hidden="false" customHeight="false" outlineLevel="0" collapsed="false">
      <c r="A199" s="13" t="s">
        <v>966</v>
      </c>
      <c r="B199" s="4" t="s">
        <v>147</v>
      </c>
      <c r="C199" s="4" t="s">
        <v>148</v>
      </c>
      <c r="D199" s="4" t="s">
        <v>602</v>
      </c>
      <c r="E199" s="4" t="s">
        <v>217</v>
      </c>
      <c r="F199" s="4" t="s">
        <v>57</v>
      </c>
      <c r="G199" s="4" t="s">
        <v>182</v>
      </c>
      <c r="H199" s="4" t="s">
        <v>244</v>
      </c>
      <c r="I199" s="4" t="s">
        <v>967</v>
      </c>
      <c r="J199" s="4" t="s">
        <v>968</v>
      </c>
      <c r="K199" s="4"/>
      <c r="L199" s="4" t="n">
        <v>2000</v>
      </c>
      <c r="M199" s="14" t="n">
        <v>460</v>
      </c>
    </row>
    <row r="200" customFormat="false" ht="14.25" hidden="false" customHeight="false" outlineLevel="0" collapsed="false">
      <c r="A200" s="11" t="s">
        <v>969</v>
      </c>
      <c r="B200" s="2" t="s">
        <v>116</v>
      </c>
      <c r="C200" s="2" t="s">
        <v>117</v>
      </c>
      <c r="D200" s="2" t="s">
        <v>970</v>
      </c>
      <c r="E200" s="2" t="s">
        <v>161</v>
      </c>
      <c r="F200" s="2" t="s">
        <v>33</v>
      </c>
      <c r="G200" s="2" t="s">
        <v>243</v>
      </c>
      <c r="H200" s="2" t="s">
        <v>244</v>
      </c>
      <c r="I200" s="2" t="s">
        <v>372</v>
      </c>
      <c r="J200" s="2" t="s">
        <v>540</v>
      </c>
      <c r="K200" s="2"/>
      <c r="L200" s="2" t="n">
        <v>6000</v>
      </c>
      <c r="M200" s="12" t="n">
        <v>3942</v>
      </c>
    </row>
    <row r="201" customFormat="false" ht="14.25" hidden="false" customHeight="false" outlineLevel="0" collapsed="false">
      <c r="A201" s="13" t="s">
        <v>230</v>
      </c>
      <c r="B201" s="4" t="s">
        <v>108</v>
      </c>
      <c r="C201" s="4" t="s">
        <v>109</v>
      </c>
      <c r="D201" s="4" t="s">
        <v>231</v>
      </c>
      <c r="E201" s="4" t="s">
        <v>232</v>
      </c>
      <c r="F201" s="4" t="s">
        <v>18</v>
      </c>
      <c r="G201" s="4" t="s">
        <v>200</v>
      </c>
      <c r="H201" s="4" t="s">
        <v>219</v>
      </c>
      <c r="I201" s="4" t="s">
        <v>233</v>
      </c>
      <c r="J201" s="4" t="s">
        <v>234</v>
      </c>
      <c r="K201" s="4" t="s">
        <v>235</v>
      </c>
      <c r="L201" s="4" t="n">
        <v>3000</v>
      </c>
      <c r="M201" s="14" t="n">
        <v>2553</v>
      </c>
    </row>
    <row r="202" customFormat="false" ht="14.25" hidden="false" customHeight="false" outlineLevel="0" collapsed="false">
      <c r="A202" s="11" t="s">
        <v>971</v>
      </c>
      <c r="B202" s="2" t="s">
        <v>88</v>
      </c>
      <c r="C202" s="2" t="s">
        <v>89</v>
      </c>
      <c r="D202" s="2" t="s">
        <v>972</v>
      </c>
      <c r="E202" s="2" t="s">
        <v>411</v>
      </c>
      <c r="F202" s="2" t="s">
        <v>12</v>
      </c>
      <c r="G202" s="2" t="s">
        <v>275</v>
      </c>
      <c r="H202" s="2" t="s">
        <v>170</v>
      </c>
      <c r="I202" s="2" t="s">
        <v>973</v>
      </c>
      <c r="J202" s="2" t="s">
        <v>974</v>
      </c>
      <c r="K202" s="2"/>
      <c r="L202" s="2" t="n">
        <v>4000</v>
      </c>
      <c r="M202" s="12" t="n">
        <v>1469</v>
      </c>
    </row>
    <row r="203" customFormat="false" ht="14.25" hidden="false" customHeight="false" outlineLevel="0" collapsed="false">
      <c r="A203" s="13" t="s">
        <v>975</v>
      </c>
      <c r="B203" s="4" t="s">
        <v>120</v>
      </c>
      <c r="C203" s="4" t="s">
        <v>121</v>
      </c>
      <c r="D203" s="4" t="s">
        <v>899</v>
      </c>
      <c r="E203" s="4" t="s">
        <v>406</v>
      </c>
      <c r="F203" s="4" t="s">
        <v>71</v>
      </c>
      <c r="G203" s="4" t="s">
        <v>226</v>
      </c>
      <c r="H203" s="4" t="s">
        <v>219</v>
      </c>
      <c r="I203" s="4" t="s">
        <v>171</v>
      </c>
      <c r="J203" s="4" t="s">
        <v>976</v>
      </c>
      <c r="K203" s="4" t="s">
        <v>968</v>
      </c>
      <c r="L203" s="4" t="n">
        <v>3000</v>
      </c>
      <c r="M203" s="14" t="n">
        <v>2194</v>
      </c>
    </row>
    <row r="204" customFormat="false" ht="14.25" hidden="false" customHeight="false" outlineLevel="0" collapsed="false">
      <c r="A204" s="11" t="s">
        <v>977</v>
      </c>
      <c r="B204" s="2" t="s">
        <v>93</v>
      </c>
      <c r="C204" s="2" t="s">
        <v>94</v>
      </c>
      <c r="D204" s="2" t="s">
        <v>978</v>
      </c>
      <c r="E204" s="2" t="s">
        <v>330</v>
      </c>
      <c r="F204" s="2" t="s">
        <v>26</v>
      </c>
      <c r="G204" s="2" t="s">
        <v>275</v>
      </c>
      <c r="H204" s="2" t="s">
        <v>276</v>
      </c>
      <c r="I204" s="2" t="s">
        <v>681</v>
      </c>
      <c r="J204" s="2" t="s">
        <v>979</v>
      </c>
      <c r="K204" s="2"/>
      <c r="L204" s="2" t="n">
        <v>1000</v>
      </c>
      <c r="M204" s="12" t="n">
        <v>0</v>
      </c>
    </row>
    <row r="205" customFormat="false" ht="14.25" hidden="false" customHeight="false" outlineLevel="0" collapsed="false">
      <c r="A205" s="13" t="s">
        <v>980</v>
      </c>
      <c r="B205" s="4" t="s">
        <v>143</v>
      </c>
      <c r="C205" s="4" t="s">
        <v>144</v>
      </c>
      <c r="D205" s="4" t="s">
        <v>707</v>
      </c>
      <c r="E205" s="4" t="s">
        <v>463</v>
      </c>
      <c r="F205" s="4" t="s">
        <v>69</v>
      </c>
      <c r="G205" s="4" t="s">
        <v>289</v>
      </c>
      <c r="H205" s="4" t="s">
        <v>176</v>
      </c>
      <c r="I205" s="4" t="s">
        <v>282</v>
      </c>
      <c r="J205" s="4" t="s">
        <v>981</v>
      </c>
      <c r="K205" s="4"/>
      <c r="L205" s="4" t="n">
        <v>2000</v>
      </c>
      <c r="M205" s="14" t="n">
        <v>1426</v>
      </c>
    </row>
    <row r="206" customFormat="false" ht="14.25" hidden="false" customHeight="false" outlineLevel="0" collapsed="false">
      <c r="A206" s="11" t="s">
        <v>982</v>
      </c>
      <c r="B206" s="2" t="s">
        <v>133</v>
      </c>
      <c r="C206" s="2" t="s">
        <v>134</v>
      </c>
      <c r="D206" s="2" t="s">
        <v>983</v>
      </c>
      <c r="E206" s="2" t="s">
        <v>54</v>
      </c>
      <c r="F206" s="2" t="s">
        <v>50</v>
      </c>
      <c r="G206" s="2" t="s">
        <v>189</v>
      </c>
      <c r="H206" s="2" t="s">
        <v>412</v>
      </c>
      <c r="I206" s="2" t="s">
        <v>984</v>
      </c>
      <c r="J206" s="2" t="s">
        <v>612</v>
      </c>
      <c r="K206" s="2" t="s">
        <v>985</v>
      </c>
      <c r="L206" s="2" t="n">
        <v>3000</v>
      </c>
      <c r="M206" s="12" t="n">
        <v>2904</v>
      </c>
    </row>
    <row r="207" customFormat="false" ht="14.25" hidden="false" customHeight="false" outlineLevel="0" collapsed="false">
      <c r="A207" s="13" t="s">
        <v>986</v>
      </c>
      <c r="B207" s="4" t="s">
        <v>125</v>
      </c>
      <c r="C207" s="4" t="s">
        <v>126</v>
      </c>
      <c r="D207" s="4" t="s">
        <v>886</v>
      </c>
      <c r="E207" s="4" t="s">
        <v>34</v>
      </c>
      <c r="F207" s="4" t="s">
        <v>18</v>
      </c>
      <c r="G207" s="4" t="s">
        <v>189</v>
      </c>
      <c r="H207" s="4" t="s">
        <v>212</v>
      </c>
      <c r="I207" s="4" t="s">
        <v>987</v>
      </c>
      <c r="J207" s="4" t="s">
        <v>988</v>
      </c>
      <c r="K207" s="4"/>
      <c r="L207" s="4" t="n">
        <v>5000</v>
      </c>
      <c r="M207" s="14" t="n">
        <v>2255</v>
      </c>
    </row>
    <row r="208" customFormat="false" ht="14.25" hidden="false" customHeight="false" outlineLevel="0" collapsed="false">
      <c r="A208" s="11" t="s">
        <v>989</v>
      </c>
      <c r="B208" s="2" t="s">
        <v>98</v>
      </c>
      <c r="C208" s="2" t="s">
        <v>99</v>
      </c>
      <c r="D208" s="2" t="s">
        <v>990</v>
      </c>
      <c r="E208" s="2" t="s">
        <v>254</v>
      </c>
      <c r="F208" s="2" t="s">
        <v>71</v>
      </c>
      <c r="G208" s="2" t="s">
        <v>275</v>
      </c>
      <c r="H208" s="2" t="s">
        <v>249</v>
      </c>
      <c r="I208" s="2" t="s">
        <v>991</v>
      </c>
      <c r="J208" s="2" t="s">
        <v>992</v>
      </c>
      <c r="K208" s="2" t="s">
        <v>993</v>
      </c>
      <c r="L208" s="2" t="n">
        <v>1500</v>
      </c>
      <c r="M208" s="12" t="n">
        <v>1516</v>
      </c>
    </row>
    <row r="209" customFormat="false" ht="14.25" hidden="false" customHeight="false" outlineLevel="0" collapsed="false">
      <c r="A209" s="13" t="s">
        <v>994</v>
      </c>
      <c r="B209" s="4" t="s">
        <v>88</v>
      </c>
      <c r="C209" s="4" t="s">
        <v>89</v>
      </c>
      <c r="D209" s="4" t="s">
        <v>995</v>
      </c>
      <c r="E209" s="4" t="s">
        <v>217</v>
      </c>
      <c r="F209" s="4" t="s">
        <v>73</v>
      </c>
      <c r="G209" s="4" t="s">
        <v>218</v>
      </c>
      <c r="H209" s="4" t="s">
        <v>212</v>
      </c>
      <c r="I209" s="4" t="s">
        <v>996</v>
      </c>
      <c r="J209" s="4" t="s">
        <v>997</v>
      </c>
      <c r="K209" s="4"/>
      <c r="L209" s="4" t="n">
        <v>5000</v>
      </c>
      <c r="M209" s="14" t="n">
        <v>2401</v>
      </c>
    </row>
    <row r="210" customFormat="false" ht="14.25" hidden="false" customHeight="false" outlineLevel="0" collapsed="false">
      <c r="A210" s="11" t="s">
        <v>998</v>
      </c>
      <c r="B210" s="2" t="s">
        <v>88</v>
      </c>
      <c r="C210" s="2" t="s">
        <v>89</v>
      </c>
      <c r="D210" s="2" t="s">
        <v>999</v>
      </c>
      <c r="E210" s="2" t="s">
        <v>463</v>
      </c>
      <c r="F210" s="2" t="s">
        <v>20</v>
      </c>
      <c r="G210" s="2" t="s">
        <v>434</v>
      </c>
      <c r="H210" s="2" t="s">
        <v>176</v>
      </c>
      <c r="I210" s="2" t="s">
        <v>613</v>
      </c>
      <c r="J210" s="2" t="s">
        <v>1000</v>
      </c>
      <c r="K210" s="2"/>
      <c r="L210" s="2" t="n">
        <v>5000</v>
      </c>
      <c r="M210" s="12" t="n">
        <v>3032</v>
      </c>
    </row>
    <row r="211" customFormat="false" ht="14.25" hidden="false" customHeight="false" outlineLevel="0" collapsed="false">
      <c r="A211" s="13" t="s">
        <v>1001</v>
      </c>
      <c r="B211" s="4" t="s">
        <v>143</v>
      </c>
      <c r="C211" s="4" t="s">
        <v>144</v>
      </c>
      <c r="D211" s="4" t="s">
        <v>879</v>
      </c>
      <c r="E211" s="4" t="s">
        <v>406</v>
      </c>
      <c r="F211" s="4" t="s">
        <v>66</v>
      </c>
      <c r="G211" s="4" t="s">
        <v>434</v>
      </c>
      <c r="H211" s="4" t="s">
        <v>212</v>
      </c>
      <c r="I211" s="4" t="s">
        <v>763</v>
      </c>
      <c r="J211" s="4" t="s">
        <v>221</v>
      </c>
      <c r="K211" s="4"/>
      <c r="L211" s="4" t="n">
        <v>1000</v>
      </c>
      <c r="M211" s="14" t="n">
        <v>416</v>
      </c>
    </row>
    <row r="212" customFormat="false" ht="14.25" hidden="false" customHeight="false" outlineLevel="0" collapsed="false">
      <c r="A212" s="11" t="s">
        <v>1002</v>
      </c>
      <c r="B212" s="2" t="s">
        <v>120</v>
      </c>
      <c r="C212" s="2" t="s">
        <v>121</v>
      </c>
      <c r="D212" s="2" t="s">
        <v>1003</v>
      </c>
      <c r="E212" s="2" t="s">
        <v>330</v>
      </c>
      <c r="F212" s="2" t="s">
        <v>50</v>
      </c>
      <c r="G212" s="2" t="s">
        <v>434</v>
      </c>
      <c r="H212" s="2" t="s">
        <v>365</v>
      </c>
      <c r="I212" s="2" t="s">
        <v>1004</v>
      </c>
      <c r="J212" s="2" t="s">
        <v>1005</v>
      </c>
      <c r="K212" s="2" t="s">
        <v>780</v>
      </c>
      <c r="L212" s="2" t="n">
        <v>3000</v>
      </c>
      <c r="M212" s="12" t="n">
        <v>2732</v>
      </c>
    </row>
    <row r="213" customFormat="false" ht="14.25" hidden="false" customHeight="false" outlineLevel="0" collapsed="false">
      <c r="A213" s="13" t="s">
        <v>1006</v>
      </c>
      <c r="B213" s="4" t="s">
        <v>98</v>
      </c>
      <c r="C213" s="4" t="s">
        <v>99</v>
      </c>
      <c r="D213" s="4" t="s">
        <v>1007</v>
      </c>
      <c r="E213" s="4" t="s">
        <v>349</v>
      </c>
      <c r="F213" s="4" t="s">
        <v>50</v>
      </c>
      <c r="G213" s="4" t="s">
        <v>289</v>
      </c>
      <c r="H213" s="4" t="s">
        <v>219</v>
      </c>
      <c r="I213" s="4" t="s">
        <v>107</v>
      </c>
      <c r="J213" s="4" t="s">
        <v>1008</v>
      </c>
      <c r="K213" s="4" t="s">
        <v>1009</v>
      </c>
      <c r="L213" s="4" t="n">
        <v>2500</v>
      </c>
      <c r="M213" s="14" t="n">
        <v>3499</v>
      </c>
    </row>
    <row r="214" customFormat="false" ht="14.25" hidden="false" customHeight="false" outlineLevel="0" collapsed="false">
      <c r="A214" s="11" t="s">
        <v>1010</v>
      </c>
      <c r="B214" s="2" t="s">
        <v>108</v>
      </c>
      <c r="C214" s="2" t="s">
        <v>109</v>
      </c>
      <c r="D214" s="2" t="s">
        <v>1011</v>
      </c>
      <c r="E214" s="2" t="s">
        <v>7</v>
      </c>
      <c r="F214" s="2" t="s">
        <v>6</v>
      </c>
      <c r="G214" s="2" t="s">
        <v>206</v>
      </c>
      <c r="H214" s="2" t="s">
        <v>244</v>
      </c>
      <c r="I214" s="2" t="s">
        <v>1012</v>
      </c>
      <c r="J214" s="2" t="s">
        <v>1013</v>
      </c>
      <c r="K214" s="2"/>
      <c r="L214" s="2" t="n">
        <v>6000</v>
      </c>
      <c r="M214" s="12" t="n">
        <v>3348</v>
      </c>
    </row>
    <row r="215" customFormat="false" ht="14.25" hidden="false" customHeight="false" outlineLevel="0" collapsed="false">
      <c r="A215" s="13" t="s">
        <v>1014</v>
      </c>
      <c r="B215" s="4" t="s">
        <v>88</v>
      </c>
      <c r="C215" s="4" t="s">
        <v>89</v>
      </c>
      <c r="D215" s="4" t="s">
        <v>1015</v>
      </c>
      <c r="E215" s="4" t="s">
        <v>181</v>
      </c>
      <c r="F215" s="4" t="s">
        <v>71</v>
      </c>
      <c r="G215" s="4" t="s">
        <v>218</v>
      </c>
      <c r="H215" s="4" t="s">
        <v>281</v>
      </c>
      <c r="I215" s="4" t="s">
        <v>1016</v>
      </c>
      <c r="J215" s="4" t="s">
        <v>718</v>
      </c>
      <c r="K215" s="4" t="s">
        <v>1017</v>
      </c>
      <c r="L215" s="4" t="n">
        <v>1500</v>
      </c>
      <c r="M215" s="14" t="n">
        <v>2042</v>
      </c>
    </row>
    <row r="216" customFormat="false" ht="14.25" hidden="false" customHeight="false" outlineLevel="0" collapsed="false">
      <c r="A216" s="11" t="s">
        <v>1018</v>
      </c>
      <c r="B216" s="2" t="s">
        <v>98</v>
      </c>
      <c r="C216" s="2" t="s">
        <v>99</v>
      </c>
      <c r="D216" s="2" t="s">
        <v>1019</v>
      </c>
      <c r="E216" s="2" t="s">
        <v>631</v>
      </c>
      <c r="F216" s="2" t="s">
        <v>79</v>
      </c>
      <c r="G216" s="2" t="s">
        <v>182</v>
      </c>
      <c r="H216" s="2" t="s">
        <v>290</v>
      </c>
      <c r="I216" s="2" t="s">
        <v>1020</v>
      </c>
      <c r="J216" s="2" t="s">
        <v>1021</v>
      </c>
      <c r="K216" s="2" t="s">
        <v>1022</v>
      </c>
      <c r="L216" s="2" t="n">
        <v>2000</v>
      </c>
      <c r="M216" s="12" t="n">
        <v>2156</v>
      </c>
    </row>
    <row r="217" customFormat="false" ht="14.25" hidden="false" customHeight="false" outlineLevel="0" collapsed="false">
      <c r="A217" s="13" t="s">
        <v>1023</v>
      </c>
      <c r="B217" s="4" t="s">
        <v>140</v>
      </c>
      <c r="C217" s="4" t="s">
        <v>141</v>
      </c>
      <c r="D217" s="4" t="s">
        <v>591</v>
      </c>
      <c r="E217" s="4" t="s">
        <v>7</v>
      </c>
      <c r="F217" s="4" t="s">
        <v>66</v>
      </c>
      <c r="G217" s="4" t="s">
        <v>175</v>
      </c>
      <c r="H217" s="4" t="s">
        <v>219</v>
      </c>
      <c r="I217" s="4" t="s">
        <v>480</v>
      </c>
      <c r="J217" s="4" t="s">
        <v>1024</v>
      </c>
      <c r="K217" s="4" t="s">
        <v>1025</v>
      </c>
      <c r="L217" s="4" t="n">
        <v>4000</v>
      </c>
      <c r="M217" s="14" t="n">
        <v>3393</v>
      </c>
    </row>
    <row r="218" customFormat="false" ht="14.25" hidden="false" customHeight="false" outlineLevel="0" collapsed="false">
      <c r="A218" s="11" t="s">
        <v>1026</v>
      </c>
      <c r="B218" s="2" t="s">
        <v>125</v>
      </c>
      <c r="C218" s="2" t="s">
        <v>126</v>
      </c>
      <c r="D218" s="2" t="s">
        <v>1027</v>
      </c>
      <c r="E218" s="2" t="s">
        <v>7</v>
      </c>
      <c r="F218" s="2" t="s">
        <v>71</v>
      </c>
      <c r="G218" s="2" t="s">
        <v>169</v>
      </c>
      <c r="H218" s="2" t="s">
        <v>212</v>
      </c>
      <c r="I218" s="2" t="s">
        <v>1028</v>
      </c>
      <c r="J218" s="2" t="s">
        <v>367</v>
      </c>
      <c r="K218" s="2"/>
      <c r="L218" s="2" t="n">
        <v>6000</v>
      </c>
      <c r="M218" s="12" t="n">
        <v>1233</v>
      </c>
    </row>
    <row r="219" customFormat="false" ht="14.25" hidden="false" customHeight="false" outlineLevel="0" collapsed="false">
      <c r="A219" s="13" t="s">
        <v>1029</v>
      </c>
      <c r="B219" s="4" t="s">
        <v>120</v>
      </c>
      <c r="C219" s="4" t="s">
        <v>121</v>
      </c>
      <c r="D219" s="4" t="s">
        <v>325</v>
      </c>
      <c r="E219" s="4" t="s">
        <v>238</v>
      </c>
      <c r="F219" s="4" t="s">
        <v>18</v>
      </c>
      <c r="G219" s="4" t="s">
        <v>243</v>
      </c>
      <c r="H219" s="4" t="s">
        <v>239</v>
      </c>
      <c r="I219" s="4" t="s">
        <v>783</v>
      </c>
      <c r="J219" s="4" t="s">
        <v>1030</v>
      </c>
      <c r="K219" s="4" t="s">
        <v>1031</v>
      </c>
      <c r="L219" s="4"/>
      <c r="M219" s="14" t="n">
        <v>2192</v>
      </c>
    </row>
    <row r="220" customFormat="false" ht="14.25" hidden="false" customHeight="false" outlineLevel="0" collapsed="false">
      <c r="A220" s="11" t="s">
        <v>1032</v>
      </c>
      <c r="B220" s="2" t="s">
        <v>140</v>
      </c>
      <c r="C220" s="2" t="s">
        <v>141</v>
      </c>
      <c r="D220" s="2" t="s">
        <v>1033</v>
      </c>
      <c r="E220" s="2" t="s">
        <v>232</v>
      </c>
      <c r="F220" s="2" t="s">
        <v>71</v>
      </c>
      <c r="G220" s="2" t="s">
        <v>289</v>
      </c>
      <c r="H220" s="2" t="s">
        <v>355</v>
      </c>
      <c r="I220" s="2" t="s">
        <v>403</v>
      </c>
      <c r="J220" s="2" t="s">
        <v>771</v>
      </c>
      <c r="K220" s="2"/>
      <c r="L220" s="2" t="n">
        <v>4000</v>
      </c>
      <c r="M220" s="12" t="n">
        <v>0</v>
      </c>
    </row>
    <row r="221" customFormat="false" ht="14.25" hidden="false" customHeight="false" outlineLevel="0" collapsed="false">
      <c r="A221" s="13" t="s">
        <v>1034</v>
      </c>
      <c r="B221" s="4" t="s">
        <v>116</v>
      </c>
      <c r="C221" s="4" t="s">
        <v>117</v>
      </c>
      <c r="D221" s="4" t="s">
        <v>1035</v>
      </c>
      <c r="E221" s="4" t="s">
        <v>260</v>
      </c>
      <c r="F221" s="4" t="s">
        <v>20</v>
      </c>
      <c r="G221" s="4" t="s">
        <v>226</v>
      </c>
      <c r="H221" s="4" t="s">
        <v>212</v>
      </c>
      <c r="I221" s="4" t="s">
        <v>1036</v>
      </c>
      <c r="J221" s="4" t="s">
        <v>1037</v>
      </c>
      <c r="K221" s="4"/>
      <c r="L221" s="4" t="n">
        <v>5000</v>
      </c>
      <c r="M221" s="14" t="n">
        <v>3364</v>
      </c>
    </row>
    <row r="222" customFormat="false" ht="14.25" hidden="false" customHeight="false" outlineLevel="0" collapsed="false">
      <c r="A222" s="11" t="s">
        <v>1038</v>
      </c>
      <c r="B222" s="2" t="s">
        <v>136</v>
      </c>
      <c r="C222" s="2" t="s">
        <v>137</v>
      </c>
      <c r="D222" s="2" t="s">
        <v>231</v>
      </c>
      <c r="E222" s="2" t="s">
        <v>63</v>
      </c>
      <c r="F222" s="2" t="s">
        <v>62</v>
      </c>
      <c r="G222" s="2" t="s">
        <v>243</v>
      </c>
      <c r="H222" s="2" t="s">
        <v>212</v>
      </c>
      <c r="I222" s="2" t="s">
        <v>1039</v>
      </c>
      <c r="J222" s="2" t="s">
        <v>662</v>
      </c>
      <c r="K222" s="2"/>
      <c r="L222" s="2" t="n">
        <v>8000</v>
      </c>
      <c r="M222" s="12" t="n">
        <v>2896</v>
      </c>
    </row>
    <row r="223" customFormat="false" ht="14.25" hidden="false" customHeight="false" outlineLevel="0" collapsed="false">
      <c r="A223" s="13" t="s">
        <v>1040</v>
      </c>
      <c r="B223" s="4" t="s">
        <v>108</v>
      </c>
      <c r="C223" s="4" t="s">
        <v>109</v>
      </c>
      <c r="D223" s="4" t="s">
        <v>1041</v>
      </c>
      <c r="E223" s="4" t="s">
        <v>320</v>
      </c>
      <c r="F223" s="4" t="s">
        <v>71</v>
      </c>
      <c r="G223" s="4" t="s">
        <v>275</v>
      </c>
      <c r="H223" s="4" t="s">
        <v>249</v>
      </c>
      <c r="I223" s="4" t="s">
        <v>783</v>
      </c>
      <c r="J223" s="4" t="s">
        <v>1042</v>
      </c>
      <c r="K223" s="4" t="s">
        <v>1030</v>
      </c>
      <c r="L223" s="4" t="n">
        <v>3000</v>
      </c>
      <c r="M223" s="14" t="n">
        <v>3036</v>
      </c>
    </row>
    <row r="224" customFormat="false" ht="14.25" hidden="false" customHeight="false" outlineLevel="0" collapsed="false">
      <c r="A224" s="11" t="s">
        <v>1043</v>
      </c>
      <c r="B224" s="2" t="s">
        <v>133</v>
      </c>
      <c r="C224" s="2" t="s">
        <v>134</v>
      </c>
      <c r="D224" s="2" t="s">
        <v>1044</v>
      </c>
      <c r="E224" s="2" t="s">
        <v>44</v>
      </c>
      <c r="F224" s="2" t="s">
        <v>37</v>
      </c>
      <c r="G224" s="2" t="s">
        <v>243</v>
      </c>
      <c r="H224" s="2" t="s">
        <v>227</v>
      </c>
      <c r="I224" s="2" t="s">
        <v>1045</v>
      </c>
      <c r="J224" s="2" t="s">
        <v>1046</v>
      </c>
      <c r="K224" s="2"/>
      <c r="L224" s="2" t="n">
        <v>8000</v>
      </c>
      <c r="M224" s="12" t="n">
        <v>3460</v>
      </c>
    </row>
    <row r="225" customFormat="false" ht="14.25" hidden="false" customHeight="false" outlineLevel="0" collapsed="false">
      <c r="A225" s="13" t="s">
        <v>624</v>
      </c>
      <c r="B225" s="4" t="s">
        <v>103</v>
      </c>
      <c r="C225" s="4" t="s">
        <v>104</v>
      </c>
      <c r="D225" s="4" t="s">
        <v>421</v>
      </c>
      <c r="E225" s="4" t="s">
        <v>217</v>
      </c>
      <c r="F225" s="4" t="s">
        <v>625</v>
      </c>
      <c r="G225" s="4" t="s">
        <v>162</v>
      </c>
      <c r="H225" s="4" t="s">
        <v>290</v>
      </c>
      <c r="I225" s="4" t="s">
        <v>626</v>
      </c>
      <c r="J225" s="4" t="s">
        <v>627</v>
      </c>
      <c r="K225" s="4" t="s">
        <v>628</v>
      </c>
      <c r="L225" s="4" t="n">
        <v>10000</v>
      </c>
      <c r="M225" s="14" t="n">
        <v>7595</v>
      </c>
    </row>
    <row r="226" customFormat="false" ht="14.25" hidden="false" customHeight="false" outlineLevel="0" collapsed="false">
      <c r="A226" s="11" t="s">
        <v>1047</v>
      </c>
      <c r="B226" s="2" t="s">
        <v>120</v>
      </c>
      <c r="C226" s="2" t="s">
        <v>121</v>
      </c>
      <c r="D226" s="2" t="s">
        <v>1048</v>
      </c>
      <c r="E226" s="2" t="s">
        <v>44</v>
      </c>
      <c r="F226" s="2" t="s">
        <v>79</v>
      </c>
      <c r="G226" s="2" t="s">
        <v>289</v>
      </c>
      <c r="H226" s="2" t="s">
        <v>276</v>
      </c>
      <c r="I226" s="2" t="s">
        <v>1049</v>
      </c>
      <c r="J226" s="2" t="s">
        <v>653</v>
      </c>
      <c r="K226" s="2"/>
      <c r="L226" s="2" t="n">
        <v>5000</v>
      </c>
      <c r="M226" s="12" t="n">
        <v>0</v>
      </c>
    </row>
    <row r="227" customFormat="false" ht="14.25" hidden="false" customHeight="false" outlineLevel="0" collapsed="false">
      <c r="A227" s="13" t="s">
        <v>1050</v>
      </c>
      <c r="B227" s="4" t="s">
        <v>136</v>
      </c>
      <c r="C227" s="4" t="s">
        <v>137</v>
      </c>
      <c r="D227" s="4" t="s">
        <v>1051</v>
      </c>
      <c r="E227" s="4" t="s">
        <v>44</v>
      </c>
      <c r="F227" s="4" t="s">
        <v>670</v>
      </c>
      <c r="G227" s="4" t="s">
        <v>175</v>
      </c>
      <c r="H227" s="4" t="s">
        <v>281</v>
      </c>
      <c r="I227" s="4" t="s">
        <v>1052</v>
      </c>
      <c r="J227" s="4" t="s">
        <v>1053</v>
      </c>
      <c r="K227" s="4" t="s">
        <v>1054</v>
      </c>
      <c r="L227" s="4" t="n">
        <v>1500</v>
      </c>
      <c r="M227" s="14" t="n">
        <v>1961</v>
      </c>
    </row>
    <row r="228" customFormat="false" ht="14.25" hidden="false" customHeight="false" outlineLevel="0" collapsed="false">
      <c r="A228" s="11" t="s">
        <v>1055</v>
      </c>
      <c r="B228" s="2" t="s">
        <v>93</v>
      </c>
      <c r="C228" s="2" t="s">
        <v>94</v>
      </c>
      <c r="D228" s="2" t="s">
        <v>1056</v>
      </c>
      <c r="E228" s="2" t="s">
        <v>76</v>
      </c>
      <c r="F228" s="2" t="s">
        <v>81</v>
      </c>
      <c r="G228" s="2" t="s">
        <v>243</v>
      </c>
      <c r="H228" s="2" t="s">
        <v>412</v>
      </c>
      <c r="I228" s="2" t="s">
        <v>1057</v>
      </c>
      <c r="J228" s="2" t="s">
        <v>476</v>
      </c>
      <c r="K228" s="2" t="s">
        <v>432</v>
      </c>
      <c r="L228" s="2" t="n">
        <v>5000</v>
      </c>
      <c r="M228" s="12" t="n">
        <v>6487</v>
      </c>
    </row>
    <row r="229" customFormat="false" ht="14.25" hidden="false" customHeight="false" outlineLevel="0" collapsed="false">
      <c r="A229" s="13" t="s">
        <v>1058</v>
      </c>
      <c r="B229" s="4" t="s">
        <v>98</v>
      </c>
      <c r="C229" s="4" t="s">
        <v>99</v>
      </c>
      <c r="D229" s="4" t="s">
        <v>746</v>
      </c>
      <c r="E229" s="4" t="s">
        <v>174</v>
      </c>
      <c r="F229" s="4" t="s">
        <v>69</v>
      </c>
      <c r="G229" s="4" t="s">
        <v>206</v>
      </c>
      <c r="H229" s="4" t="s">
        <v>412</v>
      </c>
      <c r="I229" s="4" t="s">
        <v>854</v>
      </c>
      <c r="J229" s="4" t="s">
        <v>1059</v>
      </c>
      <c r="K229" s="4" t="s">
        <v>474</v>
      </c>
      <c r="L229" s="4" t="n">
        <v>10000</v>
      </c>
      <c r="M229" s="14" t="n">
        <v>11059</v>
      </c>
    </row>
    <row r="230" customFormat="false" ht="14.25" hidden="false" customHeight="false" outlineLevel="0" collapsed="false">
      <c r="A230" s="11" t="s">
        <v>425</v>
      </c>
      <c r="B230" s="2" t="s">
        <v>93</v>
      </c>
      <c r="C230" s="2" t="s">
        <v>94</v>
      </c>
      <c r="D230" s="2" t="s">
        <v>205</v>
      </c>
      <c r="E230" s="2" t="s">
        <v>63</v>
      </c>
      <c r="F230" s="2" t="s">
        <v>81</v>
      </c>
      <c r="G230" s="2" t="s">
        <v>200</v>
      </c>
      <c r="H230" s="2" t="s">
        <v>227</v>
      </c>
      <c r="I230" s="2" t="s">
        <v>426</v>
      </c>
      <c r="J230" s="2" t="s">
        <v>427</v>
      </c>
      <c r="K230" s="2"/>
      <c r="L230" s="2" t="n">
        <v>3000</v>
      </c>
      <c r="M230" s="12" t="n">
        <v>2365</v>
      </c>
    </row>
    <row r="231" customFormat="false" ht="14.25" hidden="false" customHeight="false" outlineLevel="0" collapsed="false">
      <c r="A231" s="13" t="s">
        <v>1060</v>
      </c>
      <c r="B231" s="4" t="s">
        <v>93</v>
      </c>
      <c r="C231" s="4" t="s">
        <v>94</v>
      </c>
      <c r="D231" s="4" t="s">
        <v>1061</v>
      </c>
      <c r="E231" s="4" t="s">
        <v>232</v>
      </c>
      <c r="F231" s="4" t="s">
        <v>75</v>
      </c>
      <c r="G231" s="4" t="s">
        <v>182</v>
      </c>
      <c r="H231" s="4" t="s">
        <v>207</v>
      </c>
      <c r="I231" s="4" t="s">
        <v>488</v>
      </c>
      <c r="J231" s="4" t="s">
        <v>1062</v>
      </c>
      <c r="K231" s="4"/>
      <c r="L231" s="4" t="n">
        <v>4000</v>
      </c>
      <c r="M231" s="14" t="n">
        <v>0</v>
      </c>
    </row>
    <row r="232" customFormat="false" ht="14.25" hidden="false" customHeight="false" outlineLevel="0" collapsed="false">
      <c r="A232" s="11" t="s">
        <v>1063</v>
      </c>
      <c r="B232" s="2" t="s">
        <v>98</v>
      </c>
      <c r="C232" s="2" t="s">
        <v>99</v>
      </c>
      <c r="D232" s="2" t="s">
        <v>569</v>
      </c>
      <c r="E232" s="2" t="s">
        <v>63</v>
      </c>
      <c r="F232" s="2" t="s">
        <v>47</v>
      </c>
      <c r="G232" s="2" t="s">
        <v>189</v>
      </c>
      <c r="H232" s="2" t="s">
        <v>239</v>
      </c>
      <c r="I232" s="2" t="s">
        <v>764</v>
      </c>
      <c r="J232" s="2" t="s">
        <v>282</v>
      </c>
      <c r="K232" s="2" t="s">
        <v>282</v>
      </c>
      <c r="L232" s="2" t="n">
        <v>1500</v>
      </c>
      <c r="M232" s="12" t="n">
        <v>1602</v>
      </c>
    </row>
    <row r="233" customFormat="false" ht="14.25" hidden="false" customHeight="false" outlineLevel="0" collapsed="false">
      <c r="A233" s="13" t="s">
        <v>1064</v>
      </c>
      <c r="B233" s="4" t="s">
        <v>88</v>
      </c>
      <c r="C233" s="4" t="s">
        <v>89</v>
      </c>
      <c r="D233" s="4" t="s">
        <v>934</v>
      </c>
      <c r="E233" s="4" t="s">
        <v>54</v>
      </c>
      <c r="F233" s="4" t="s">
        <v>40</v>
      </c>
      <c r="G233" s="4" t="s">
        <v>289</v>
      </c>
      <c r="H233" s="4" t="s">
        <v>219</v>
      </c>
      <c r="I233" s="4" t="s">
        <v>1065</v>
      </c>
      <c r="J233" s="4" t="s">
        <v>1066</v>
      </c>
      <c r="K233" s="4" t="s">
        <v>1067</v>
      </c>
      <c r="L233" s="4" t="n">
        <v>4000</v>
      </c>
      <c r="M233" s="14" t="n">
        <v>3468</v>
      </c>
    </row>
    <row r="234" customFormat="false" ht="14.25" hidden="false" customHeight="false" outlineLevel="0" collapsed="false">
      <c r="A234" s="11" t="s">
        <v>1068</v>
      </c>
      <c r="B234" s="2" t="s">
        <v>133</v>
      </c>
      <c r="C234" s="2" t="s">
        <v>134</v>
      </c>
      <c r="D234" s="2" t="s">
        <v>1019</v>
      </c>
      <c r="E234" s="2" t="s">
        <v>76</v>
      </c>
      <c r="F234" s="2" t="s">
        <v>53</v>
      </c>
      <c r="G234" s="2" t="s">
        <v>189</v>
      </c>
      <c r="H234" s="2" t="s">
        <v>227</v>
      </c>
      <c r="I234" s="2" t="s">
        <v>880</v>
      </c>
      <c r="J234" s="2" t="s">
        <v>1069</v>
      </c>
      <c r="K234" s="2"/>
      <c r="L234" s="2" t="n">
        <v>4000</v>
      </c>
      <c r="M234" s="12" t="n">
        <v>2776</v>
      </c>
    </row>
    <row r="235" customFormat="false" ht="14.25" hidden="false" customHeight="false" outlineLevel="0" collapsed="false">
      <c r="A235" s="13" t="s">
        <v>1070</v>
      </c>
      <c r="B235" s="4" t="s">
        <v>147</v>
      </c>
      <c r="C235" s="4" t="s">
        <v>148</v>
      </c>
      <c r="D235" s="4" t="s">
        <v>1003</v>
      </c>
      <c r="E235" s="4" t="s">
        <v>406</v>
      </c>
      <c r="F235" s="4" t="s">
        <v>43</v>
      </c>
      <c r="G235" s="4" t="s">
        <v>289</v>
      </c>
      <c r="H235" s="4" t="s">
        <v>281</v>
      </c>
      <c r="I235" s="4" t="s">
        <v>372</v>
      </c>
      <c r="J235" s="4" t="s">
        <v>738</v>
      </c>
      <c r="K235" s="4" t="s">
        <v>1071</v>
      </c>
      <c r="L235" s="4" t="n">
        <v>8000</v>
      </c>
      <c r="M235" s="14" t="n">
        <v>10129</v>
      </c>
    </row>
    <row r="236" customFormat="false" ht="14.25" hidden="false" customHeight="false" outlineLevel="0" collapsed="false">
      <c r="A236" s="11" t="s">
        <v>1072</v>
      </c>
      <c r="B236" s="2" t="s">
        <v>93</v>
      </c>
      <c r="C236" s="2" t="s">
        <v>94</v>
      </c>
      <c r="D236" s="2" t="s">
        <v>1073</v>
      </c>
      <c r="E236" s="2" t="s">
        <v>225</v>
      </c>
      <c r="F236" s="2" t="s">
        <v>62</v>
      </c>
      <c r="G236" s="2" t="s">
        <v>182</v>
      </c>
      <c r="H236" s="2" t="s">
        <v>365</v>
      </c>
      <c r="I236" s="2" t="s">
        <v>1074</v>
      </c>
      <c r="J236" s="2" t="s">
        <v>316</v>
      </c>
      <c r="K236" s="2" t="s">
        <v>1075</v>
      </c>
      <c r="L236" s="2" t="n">
        <v>4000</v>
      </c>
      <c r="M236" s="12" t="n">
        <v>3583</v>
      </c>
    </row>
    <row r="237" customFormat="false" ht="14.25" hidden="false" customHeight="false" outlineLevel="0" collapsed="false">
      <c r="A237" s="13" t="s">
        <v>1076</v>
      </c>
      <c r="B237" s="4" t="s">
        <v>133</v>
      </c>
      <c r="C237" s="4" t="s">
        <v>134</v>
      </c>
      <c r="D237" s="4" t="s">
        <v>1077</v>
      </c>
      <c r="E237" s="4" t="s">
        <v>217</v>
      </c>
      <c r="F237" s="4" t="s">
        <v>15</v>
      </c>
      <c r="G237" s="4" t="s">
        <v>226</v>
      </c>
      <c r="H237" s="4" t="s">
        <v>176</v>
      </c>
      <c r="I237" s="4" t="s">
        <v>1078</v>
      </c>
      <c r="J237" s="4" t="s">
        <v>1079</v>
      </c>
      <c r="K237" s="4"/>
      <c r="L237" s="4" t="n">
        <v>10000</v>
      </c>
      <c r="M237" s="14" t="n">
        <v>4882</v>
      </c>
    </row>
    <row r="238" customFormat="false" ht="14.25" hidden="false" customHeight="false" outlineLevel="0" collapsed="false">
      <c r="A238" s="11" t="s">
        <v>1080</v>
      </c>
      <c r="B238" s="2" t="s">
        <v>88</v>
      </c>
      <c r="C238" s="2" t="s">
        <v>89</v>
      </c>
      <c r="D238" s="2" t="s">
        <v>1035</v>
      </c>
      <c r="E238" s="2" t="s">
        <v>181</v>
      </c>
      <c r="F238" s="2" t="s">
        <v>81</v>
      </c>
      <c r="G238" s="2" t="s">
        <v>218</v>
      </c>
      <c r="H238" s="2" t="s">
        <v>249</v>
      </c>
      <c r="I238" s="2" t="s">
        <v>974</v>
      </c>
      <c r="J238" s="2" t="s">
        <v>1081</v>
      </c>
      <c r="K238" s="2" t="s">
        <v>1082</v>
      </c>
      <c r="L238" s="2" t="n">
        <v>1500</v>
      </c>
      <c r="M238" s="12" t="n">
        <v>1716</v>
      </c>
    </row>
    <row r="239" customFormat="false" ht="14.25" hidden="false" customHeight="false" outlineLevel="0" collapsed="false">
      <c r="A239" s="13" t="s">
        <v>1083</v>
      </c>
      <c r="B239" s="4" t="s">
        <v>88</v>
      </c>
      <c r="C239" s="4" t="s">
        <v>89</v>
      </c>
      <c r="D239" s="4" t="s">
        <v>1084</v>
      </c>
      <c r="E239" s="4" t="s">
        <v>631</v>
      </c>
      <c r="F239" s="4" t="s">
        <v>33</v>
      </c>
      <c r="G239" s="4"/>
      <c r="H239" s="4" t="s">
        <v>227</v>
      </c>
      <c r="I239" s="4" t="s">
        <v>1085</v>
      </c>
      <c r="J239" s="4" t="s">
        <v>1086</v>
      </c>
      <c r="K239" s="4"/>
      <c r="L239" s="4" t="n">
        <v>1500</v>
      </c>
      <c r="M239" s="14" t="n">
        <v>1154</v>
      </c>
    </row>
    <row r="240" customFormat="false" ht="14.25" hidden="false" customHeight="false" outlineLevel="0" collapsed="false">
      <c r="A240" s="11" t="s">
        <v>1087</v>
      </c>
      <c r="B240" s="2" t="s">
        <v>125</v>
      </c>
      <c r="C240" s="2" t="s">
        <v>126</v>
      </c>
      <c r="D240" s="2" t="s">
        <v>1015</v>
      </c>
      <c r="E240" s="2" t="s">
        <v>260</v>
      </c>
      <c r="F240" s="2" t="s">
        <v>47</v>
      </c>
      <c r="G240" s="2" t="s">
        <v>434</v>
      </c>
      <c r="H240" s="2" t="s">
        <v>365</v>
      </c>
      <c r="I240" s="2" t="s">
        <v>1088</v>
      </c>
      <c r="J240" s="2" t="s">
        <v>1089</v>
      </c>
      <c r="K240" s="2" t="s">
        <v>452</v>
      </c>
      <c r="L240" s="2" t="n">
        <v>2000</v>
      </c>
      <c r="M240" s="12" t="n">
        <v>1840</v>
      </c>
    </row>
    <row r="241" customFormat="false" ht="14.25" hidden="false" customHeight="false" outlineLevel="0" collapsed="false">
      <c r="A241" s="13" t="s">
        <v>1090</v>
      </c>
      <c r="B241" s="4" t="s">
        <v>116</v>
      </c>
      <c r="C241" s="4" t="s">
        <v>117</v>
      </c>
      <c r="D241" s="4" t="s">
        <v>983</v>
      </c>
      <c r="E241" s="4" t="s">
        <v>76</v>
      </c>
      <c r="F241" s="4" t="s">
        <v>10</v>
      </c>
      <c r="G241" s="4" t="s">
        <v>275</v>
      </c>
      <c r="H241" s="4" t="s">
        <v>281</v>
      </c>
      <c r="I241" s="4" t="s">
        <v>1091</v>
      </c>
      <c r="J241" s="4" t="s">
        <v>1092</v>
      </c>
      <c r="K241" s="4" t="s">
        <v>744</v>
      </c>
      <c r="L241" s="4" t="n">
        <v>1500</v>
      </c>
      <c r="M241" s="14" t="n">
        <v>1618</v>
      </c>
    </row>
    <row r="242" customFormat="false" ht="14.25" hidden="false" customHeight="false" outlineLevel="0" collapsed="false">
      <c r="A242" s="11" t="s">
        <v>1093</v>
      </c>
      <c r="B242" s="2" t="s">
        <v>93</v>
      </c>
      <c r="C242" s="2" t="s">
        <v>94</v>
      </c>
      <c r="D242" s="2" t="s">
        <v>1094</v>
      </c>
      <c r="E242" s="2" t="s">
        <v>371</v>
      </c>
      <c r="F242" s="2" t="s">
        <v>47</v>
      </c>
      <c r="G242" s="2" t="s">
        <v>434</v>
      </c>
      <c r="H242" s="2" t="s">
        <v>170</v>
      </c>
      <c r="I242" s="2" t="s">
        <v>1095</v>
      </c>
      <c r="J242" s="2" t="s">
        <v>166</v>
      </c>
      <c r="K242" s="2"/>
      <c r="L242" s="2" t="n">
        <v>5000</v>
      </c>
      <c r="M242" s="12" t="n">
        <v>1993</v>
      </c>
    </row>
    <row r="243" customFormat="false" ht="14.25" hidden="false" customHeight="false" outlineLevel="0" collapsed="false">
      <c r="A243" s="13" t="s">
        <v>977</v>
      </c>
      <c r="B243" s="4" t="s">
        <v>93</v>
      </c>
      <c r="C243" s="4" t="s">
        <v>94</v>
      </c>
      <c r="D243" s="4" t="s">
        <v>978</v>
      </c>
      <c r="E243" s="4" t="s">
        <v>330</v>
      </c>
      <c r="F243" s="4" t="s">
        <v>26</v>
      </c>
      <c r="G243" s="4" t="s">
        <v>275</v>
      </c>
      <c r="H243" s="4" t="s">
        <v>276</v>
      </c>
      <c r="I243" s="4" t="s">
        <v>681</v>
      </c>
      <c r="J243" s="4" t="s">
        <v>979</v>
      </c>
      <c r="K243" s="4"/>
      <c r="L243" s="4" t="n">
        <v>1000</v>
      </c>
      <c r="M243" s="14" t="n">
        <v>0</v>
      </c>
    </row>
    <row r="244" customFormat="false" ht="14.25" hidden="false" customHeight="false" outlineLevel="0" collapsed="false">
      <c r="A244" s="11" t="s">
        <v>1096</v>
      </c>
      <c r="B244" s="2" t="s">
        <v>136</v>
      </c>
      <c r="C244" s="2" t="s">
        <v>137</v>
      </c>
      <c r="D244" s="2" t="s">
        <v>1097</v>
      </c>
      <c r="E244" s="2" t="s">
        <v>320</v>
      </c>
      <c r="F244" s="2" t="s">
        <v>69</v>
      </c>
      <c r="G244" s="2" t="s">
        <v>175</v>
      </c>
      <c r="H244" s="2" t="s">
        <v>183</v>
      </c>
      <c r="I244" s="2" t="s">
        <v>1098</v>
      </c>
      <c r="J244" s="2" t="s">
        <v>1099</v>
      </c>
      <c r="K244" s="2" t="s">
        <v>474</v>
      </c>
      <c r="L244" s="2" t="n">
        <v>6000</v>
      </c>
      <c r="M244" s="12" t="n">
        <v>5652</v>
      </c>
    </row>
    <row r="245" customFormat="false" ht="14.25" hidden="false" customHeight="false" outlineLevel="0" collapsed="false">
      <c r="A245" s="13" t="s">
        <v>1100</v>
      </c>
      <c r="B245" s="4" t="s">
        <v>140</v>
      </c>
      <c r="C245" s="4" t="s">
        <v>141</v>
      </c>
      <c r="D245" s="4" t="s">
        <v>941</v>
      </c>
      <c r="E245" s="4" t="s">
        <v>238</v>
      </c>
      <c r="F245" s="4" t="s">
        <v>10</v>
      </c>
      <c r="G245" s="4" t="s">
        <v>243</v>
      </c>
      <c r="H245" s="4" t="s">
        <v>239</v>
      </c>
      <c r="I245" s="4" t="s">
        <v>1101</v>
      </c>
      <c r="J245" s="4" t="s">
        <v>1102</v>
      </c>
      <c r="K245" s="4" t="s">
        <v>1103</v>
      </c>
      <c r="L245" s="4" t="n">
        <v>4000</v>
      </c>
      <c r="M245" s="14" t="n">
        <v>5504</v>
      </c>
    </row>
    <row r="246" customFormat="false" ht="14.25" hidden="false" customHeight="false" outlineLevel="0" collapsed="false">
      <c r="A246" s="11" t="s">
        <v>1104</v>
      </c>
      <c r="B246" s="2" t="s">
        <v>108</v>
      </c>
      <c r="C246" s="2" t="s">
        <v>109</v>
      </c>
      <c r="D246" s="2" t="s">
        <v>1105</v>
      </c>
      <c r="E246" s="2" t="s">
        <v>161</v>
      </c>
      <c r="F246" s="2" t="s">
        <v>53</v>
      </c>
      <c r="G246" s="2" t="s">
        <v>289</v>
      </c>
      <c r="H246" s="2" t="s">
        <v>281</v>
      </c>
      <c r="I246" s="2" t="s">
        <v>1106</v>
      </c>
      <c r="J246" s="2" t="s">
        <v>1107</v>
      </c>
      <c r="K246" s="2" t="s">
        <v>1108</v>
      </c>
      <c r="L246" s="2" t="n">
        <v>2000</v>
      </c>
      <c r="M246" s="12" t="n">
        <v>2511</v>
      </c>
    </row>
    <row r="247" customFormat="false" ht="14.25" hidden="false" customHeight="false" outlineLevel="0" collapsed="false">
      <c r="A247" s="13" t="s">
        <v>1109</v>
      </c>
      <c r="B247" s="4" t="s">
        <v>143</v>
      </c>
      <c r="C247" s="4" t="s">
        <v>144</v>
      </c>
      <c r="D247" s="4" t="s">
        <v>1110</v>
      </c>
      <c r="E247" s="4" t="s">
        <v>411</v>
      </c>
      <c r="F247" s="4" t="s">
        <v>26</v>
      </c>
      <c r="G247" s="4" t="s">
        <v>189</v>
      </c>
      <c r="H247" s="4" t="s">
        <v>290</v>
      </c>
      <c r="I247" s="4" t="s">
        <v>1111</v>
      </c>
      <c r="J247" s="4" t="s">
        <v>481</v>
      </c>
      <c r="K247" s="4" t="s">
        <v>481</v>
      </c>
      <c r="L247" s="4" t="n">
        <v>2000</v>
      </c>
      <c r="M247" s="14" t="n">
        <v>1912</v>
      </c>
    </row>
    <row r="248" customFormat="false" ht="14.25" hidden="false" customHeight="false" outlineLevel="0" collapsed="false">
      <c r="A248" s="11" t="s">
        <v>1112</v>
      </c>
      <c r="B248" s="2" t="s">
        <v>103</v>
      </c>
      <c r="C248" s="2" t="s">
        <v>104</v>
      </c>
      <c r="D248" s="2" t="s">
        <v>978</v>
      </c>
      <c r="E248" s="2" t="s">
        <v>274</v>
      </c>
      <c r="F248" s="2" t="s">
        <v>81</v>
      </c>
      <c r="G248" s="2" t="s">
        <v>189</v>
      </c>
      <c r="H248" s="2" t="s">
        <v>249</v>
      </c>
      <c r="I248" s="2" t="s">
        <v>1113</v>
      </c>
      <c r="J248" s="2" t="s">
        <v>1114</v>
      </c>
      <c r="K248" s="2" t="s">
        <v>1114</v>
      </c>
      <c r="L248" s="2" t="n">
        <v>8000</v>
      </c>
      <c r="M248" s="12" t="n">
        <v>11057</v>
      </c>
    </row>
    <row r="249" customFormat="false" ht="14.25" hidden="false" customHeight="false" outlineLevel="0" collapsed="false">
      <c r="A249" s="13" t="s">
        <v>1115</v>
      </c>
      <c r="B249" s="4" t="s">
        <v>120</v>
      </c>
      <c r="C249" s="4" t="s">
        <v>121</v>
      </c>
      <c r="D249" s="4" t="s">
        <v>1116</v>
      </c>
      <c r="E249" s="4" t="s">
        <v>44</v>
      </c>
      <c r="F249" s="4" t="s">
        <v>6</v>
      </c>
      <c r="G249" s="4" t="s">
        <v>218</v>
      </c>
      <c r="H249" s="4" t="s">
        <v>170</v>
      </c>
      <c r="I249" s="4" t="s">
        <v>785</v>
      </c>
      <c r="J249" s="4" t="s">
        <v>1117</v>
      </c>
      <c r="K249" s="4"/>
      <c r="L249" s="4" t="n">
        <v>1500</v>
      </c>
      <c r="M249" s="14" t="n">
        <v>422</v>
      </c>
    </row>
    <row r="250" customFormat="false" ht="14.25" hidden="false" customHeight="false" outlineLevel="0" collapsed="false">
      <c r="A250" s="11" t="s">
        <v>1118</v>
      </c>
      <c r="B250" s="2" t="s">
        <v>93</v>
      </c>
      <c r="C250" s="2" t="s">
        <v>94</v>
      </c>
      <c r="D250" s="2" t="s">
        <v>730</v>
      </c>
      <c r="E250" s="2" t="s">
        <v>21</v>
      </c>
      <c r="F250" s="2" t="s">
        <v>60</v>
      </c>
      <c r="G250" s="2" t="s">
        <v>434</v>
      </c>
      <c r="H250" s="2" t="s">
        <v>219</v>
      </c>
      <c r="I250" s="2" t="s">
        <v>1119</v>
      </c>
      <c r="J250" s="2" t="s">
        <v>1120</v>
      </c>
      <c r="K250" s="2" t="s">
        <v>1120</v>
      </c>
      <c r="L250" s="2" t="n">
        <v>6000</v>
      </c>
      <c r="M250" s="12" t="n">
        <v>5449</v>
      </c>
    </row>
    <row r="251" customFormat="false" ht="14.25" hidden="false" customHeight="false" outlineLevel="0" collapsed="false">
      <c r="A251" s="13" t="s">
        <v>1121</v>
      </c>
      <c r="B251" s="4" t="s">
        <v>108</v>
      </c>
      <c r="C251" s="4" t="s">
        <v>109</v>
      </c>
      <c r="D251" s="4" t="s">
        <v>1122</v>
      </c>
      <c r="E251" s="4" t="s">
        <v>217</v>
      </c>
      <c r="F251" s="4" t="s">
        <v>1123</v>
      </c>
      <c r="G251" s="4" t="s">
        <v>182</v>
      </c>
      <c r="H251" s="4" t="s">
        <v>163</v>
      </c>
      <c r="I251" s="4" t="s">
        <v>873</v>
      </c>
      <c r="J251" s="4" t="s">
        <v>758</v>
      </c>
      <c r="K251" s="4" t="s">
        <v>1124</v>
      </c>
      <c r="L251" s="4" t="n">
        <v>4000</v>
      </c>
      <c r="M251" s="14" t="n">
        <v>5388</v>
      </c>
    </row>
    <row r="252" customFormat="false" ht="14.25" hidden="false" customHeight="false" outlineLevel="0" collapsed="false">
      <c r="A252" s="11" t="s">
        <v>1125</v>
      </c>
      <c r="B252" s="2" t="s">
        <v>129</v>
      </c>
      <c r="C252" s="2" t="s">
        <v>130</v>
      </c>
      <c r="D252" s="2" t="s">
        <v>199</v>
      </c>
      <c r="E252" s="2" t="s">
        <v>463</v>
      </c>
      <c r="F252" s="2" t="s">
        <v>15</v>
      </c>
      <c r="G252" s="2" t="s">
        <v>226</v>
      </c>
      <c r="H252" s="2" t="s">
        <v>276</v>
      </c>
      <c r="I252" s="2" t="s">
        <v>1126</v>
      </c>
      <c r="J252" s="2" t="s">
        <v>589</v>
      </c>
      <c r="K252" s="2"/>
      <c r="L252" s="2" t="n">
        <v>3000</v>
      </c>
      <c r="M252" s="12" t="n">
        <v>0</v>
      </c>
    </row>
    <row r="253" customFormat="false" ht="14.25" hidden="false" customHeight="false" outlineLevel="0" collapsed="false">
      <c r="A253" s="13" t="s">
        <v>1127</v>
      </c>
      <c r="B253" s="4" t="s">
        <v>147</v>
      </c>
      <c r="C253" s="4" t="s">
        <v>148</v>
      </c>
      <c r="D253" s="4" t="s">
        <v>1128</v>
      </c>
      <c r="E253" s="4" t="s">
        <v>76</v>
      </c>
      <c r="F253" s="4" t="s">
        <v>66</v>
      </c>
      <c r="G253" s="4" t="s">
        <v>200</v>
      </c>
      <c r="H253" s="4" t="s">
        <v>290</v>
      </c>
      <c r="I253" s="4" t="s">
        <v>1129</v>
      </c>
      <c r="J253" s="4" t="s">
        <v>1130</v>
      </c>
      <c r="K253" s="4" t="s">
        <v>1131</v>
      </c>
      <c r="L253" s="4" t="n">
        <v>2000</v>
      </c>
      <c r="M253" s="14" t="n">
        <v>2401</v>
      </c>
    </row>
    <row r="254" customFormat="false" ht="14.25" hidden="false" customHeight="false" outlineLevel="0" collapsed="false">
      <c r="A254" s="11" t="s">
        <v>1132</v>
      </c>
      <c r="B254" s="2" t="s">
        <v>125</v>
      </c>
      <c r="C254" s="2" t="s">
        <v>126</v>
      </c>
      <c r="D254" s="2" t="s">
        <v>1133</v>
      </c>
      <c r="E254" s="2" t="s">
        <v>274</v>
      </c>
      <c r="F254" s="2" t="s">
        <v>69</v>
      </c>
      <c r="G254" s="2" t="s">
        <v>434</v>
      </c>
      <c r="H254" s="2" t="s">
        <v>365</v>
      </c>
      <c r="I254" s="2" t="s">
        <v>1134</v>
      </c>
      <c r="J254" s="2" t="s">
        <v>650</v>
      </c>
      <c r="K254" s="2" t="s">
        <v>1135</v>
      </c>
      <c r="L254" s="2" t="n">
        <v>2500</v>
      </c>
      <c r="M254" s="12" t="n">
        <v>3083</v>
      </c>
    </row>
    <row r="255" customFormat="false" ht="14.25" hidden="false" customHeight="false" outlineLevel="0" collapsed="false">
      <c r="A255" s="13" t="s">
        <v>1136</v>
      </c>
      <c r="B255" s="4" t="s">
        <v>140</v>
      </c>
      <c r="C255" s="4" t="s">
        <v>141</v>
      </c>
      <c r="D255" s="4" t="s">
        <v>491</v>
      </c>
      <c r="E255" s="4" t="s">
        <v>225</v>
      </c>
      <c r="F255" s="4" t="s">
        <v>79</v>
      </c>
      <c r="G255" s="4" t="s">
        <v>226</v>
      </c>
      <c r="H255" s="4" t="s">
        <v>170</v>
      </c>
      <c r="I255" s="4" t="s">
        <v>1137</v>
      </c>
      <c r="J255" s="4" t="s">
        <v>1138</v>
      </c>
      <c r="K255" s="4"/>
      <c r="L255" s="4" t="n">
        <v>2000</v>
      </c>
      <c r="M255" s="14" t="n">
        <v>758</v>
      </c>
    </row>
    <row r="256" customFormat="false" ht="14.25" hidden="false" customHeight="false" outlineLevel="0" collapsed="false">
      <c r="A256" s="11" t="s">
        <v>1139</v>
      </c>
      <c r="B256" s="2" t="s">
        <v>98</v>
      </c>
      <c r="C256" s="2" t="s">
        <v>99</v>
      </c>
      <c r="D256" s="2" t="s">
        <v>1140</v>
      </c>
      <c r="E256" s="2" t="s">
        <v>458</v>
      </c>
      <c r="F256" s="2" t="s">
        <v>24</v>
      </c>
      <c r="G256" s="2"/>
      <c r="H256" s="2" t="s">
        <v>249</v>
      </c>
      <c r="I256" s="2" t="s">
        <v>1141</v>
      </c>
      <c r="J256" s="2" t="s">
        <v>571</v>
      </c>
      <c r="K256" s="2" t="s">
        <v>571</v>
      </c>
      <c r="L256" s="2" t="n">
        <v>8000</v>
      </c>
      <c r="M256" s="12" t="n">
        <v>6410</v>
      </c>
    </row>
    <row r="257" customFormat="false" ht="14.25" hidden="false" customHeight="false" outlineLevel="0" collapsed="false">
      <c r="A257" s="13" t="s">
        <v>1142</v>
      </c>
      <c r="B257" s="4" t="s">
        <v>129</v>
      </c>
      <c r="C257" s="4" t="s">
        <v>130</v>
      </c>
      <c r="D257" s="4" t="s">
        <v>410</v>
      </c>
      <c r="E257" s="4" t="s">
        <v>631</v>
      </c>
      <c r="F257" s="4" t="s">
        <v>18</v>
      </c>
      <c r="G257" s="4" t="s">
        <v>275</v>
      </c>
      <c r="H257" s="4" t="s">
        <v>201</v>
      </c>
      <c r="I257" s="4" t="s">
        <v>534</v>
      </c>
      <c r="J257" s="4" t="s">
        <v>422</v>
      </c>
      <c r="K257" s="4"/>
      <c r="L257" s="4" t="n">
        <v>2500</v>
      </c>
      <c r="M257" s="14" t="n">
        <v>0</v>
      </c>
    </row>
    <row r="258" customFormat="false" ht="14.25" hidden="false" customHeight="false" outlineLevel="0" collapsed="false">
      <c r="A258" s="11" t="s">
        <v>1143</v>
      </c>
      <c r="B258" s="2" t="s">
        <v>93</v>
      </c>
      <c r="C258" s="2" t="s">
        <v>94</v>
      </c>
      <c r="D258" s="2" t="s">
        <v>1144</v>
      </c>
      <c r="E258" s="2" t="s">
        <v>217</v>
      </c>
      <c r="F258" s="2" t="s">
        <v>47</v>
      </c>
      <c r="G258" s="2" t="s">
        <v>162</v>
      </c>
      <c r="H258" s="2" t="s">
        <v>244</v>
      </c>
      <c r="I258" s="2" t="s">
        <v>942</v>
      </c>
      <c r="J258" s="2" t="s">
        <v>1145</v>
      </c>
      <c r="K258" s="2"/>
      <c r="L258" s="2" t="n">
        <v>1500</v>
      </c>
      <c r="M258" s="12" t="n">
        <v>551</v>
      </c>
    </row>
    <row r="259" customFormat="false" ht="14.25" hidden="false" customHeight="false" outlineLevel="0" collapsed="false">
      <c r="A259" s="13" t="s">
        <v>1146</v>
      </c>
      <c r="B259" s="4" t="s">
        <v>120</v>
      </c>
      <c r="C259" s="4" t="s">
        <v>121</v>
      </c>
      <c r="D259" s="4" t="s">
        <v>1147</v>
      </c>
      <c r="E259" s="4" t="s">
        <v>371</v>
      </c>
      <c r="F259" s="4" t="s">
        <v>66</v>
      </c>
      <c r="G259" s="4" t="s">
        <v>189</v>
      </c>
      <c r="H259" s="4" t="s">
        <v>281</v>
      </c>
      <c r="I259" s="4" t="s">
        <v>681</v>
      </c>
      <c r="J259" s="4" t="s">
        <v>1148</v>
      </c>
      <c r="K259" s="4" t="s">
        <v>1148</v>
      </c>
      <c r="L259" s="4" t="n">
        <v>2500</v>
      </c>
      <c r="M259" s="14" t="n">
        <v>3146</v>
      </c>
    </row>
    <row r="260" customFormat="false" ht="14.25" hidden="false" customHeight="false" outlineLevel="0" collapsed="false">
      <c r="A260" s="11" t="s">
        <v>1149</v>
      </c>
      <c r="B260" s="2" t="s">
        <v>112</v>
      </c>
      <c r="C260" s="2" t="s">
        <v>113</v>
      </c>
      <c r="D260" s="2" t="s">
        <v>537</v>
      </c>
      <c r="E260" s="2" t="s">
        <v>174</v>
      </c>
      <c r="F260" s="2" t="s">
        <v>66</v>
      </c>
      <c r="G260" s="2" t="s">
        <v>206</v>
      </c>
      <c r="H260" s="2" t="s">
        <v>365</v>
      </c>
      <c r="I260" s="2" t="s">
        <v>1150</v>
      </c>
      <c r="J260" s="2" t="s">
        <v>1151</v>
      </c>
      <c r="K260" s="2" t="s">
        <v>908</v>
      </c>
      <c r="L260" s="2" t="n">
        <v>4000</v>
      </c>
      <c r="M260" s="12" t="n">
        <v>5387</v>
      </c>
    </row>
    <row r="261" customFormat="false" ht="14.25" hidden="false" customHeight="false" outlineLevel="0" collapsed="false">
      <c r="A261" s="13" t="s">
        <v>1152</v>
      </c>
      <c r="B261" s="4" t="s">
        <v>125</v>
      </c>
      <c r="C261" s="4" t="s">
        <v>126</v>
      </c>
      <c r="D261" s="4" t="s">
        <v>1153</v>
      </c>
      <c r="E261" s="4" t="s">
        <v>260</v>
      </c>
      <c r="F261" s="4" t="s">
        <v>15</v>
      </c>
      <c r="G261" s="4" t="s">
        <v>218</v>
      </c>
      <c r="H261" s="4" t="s">
        <v>249</v>
      </c>
      <c r="I261" s="4" t="s">
        <v>1154</v>
      </c>
      <c r="J261" s="4" t="s">
        <v>698</v>
      </c>
      <c r="K261" s="4" t="s">
        <v>1134</v>
      </c>
      <c r="L261" s="4" t="n">
        <v>1500</v>
      </c>
      <c r="M261" s="14" t="n">
        <v>2021</v>
      </c>
    </row>
    <row r="262" customFormat="false" ht="14.25" hidden="false" customHeight="false" outlineLevel="0" collapsed="false">
      <c r="A262" s="11" t="s">
        <v>1155</v>
      </c>
      <c r="B262" s="2" t="s">
        <v>88</v>
      </c>
      <c r="C262" s="2" t="s">
        <v>89</v>
      </c>
      <c r="D262" s="2" t="s">
        <v>635</v>
      </c>
      <c r="E262" s="2" t="s">
        <v>7</v>
      </c>
      <c r="F262" s="2" t="s">
        <v>37</v>
      </c>
      <c r="G262" s="2" t="s">
        <v>275</v>
      </c>
      <c r="H262" s="2" t="s">
        <v>281</v>
      </c>
      <c r="I262" s="2" t="s">
        <v>955</v>
      </c>
      <c r="J262" s="2" t="s">
        <v>1156</v>
      </c>
      <c r="K262" s="2" t="s">
        <v>1157</v>
      </c>
      <c r="L262" s="2" t="n">
        <v>3000</v>
      </c>
      <c r="M262" s="12" t="n">
        <v>2378</v>
      </c>
    </row>
    <row r="263" customFormat="false" ht="14.25" hidden="false" customHeight="false" outlineLevel="0" collapsed="false">
      <c r="A263" s="13" t="s">
        <v>1158</v>
      </c>
      <c r="B263" s="4" t="s">
        <v>108</v>
      </c>
      <c r="C263" s="4" t="s">
        <v>109</v>
      </c>
      <c r="D263" s="4" t="s">
        <v>1159</v>
      </c>
      <c r="E263" s="4" t="s">
        <v>181</v>
      </c>
      <c r="F263" s="4" t="s">
        <v>79</v>
      </c>
      <c r="G263" s="4" t="s">
        <v>175</v>
      </c>
      <c r="H263" s="4" t="s">
        <v>290</v>
      </c>
      <c r="I263" s="4" t="s">
        <v>479</v>
      </c>
      <c r="J263" s="4" t="s">
        <v>1160</v>
      </c>
      <c r="K263" s="4" t="s">
        <v>1054</v>
      </c>
      <c r="L263" s="4" t="n">
        <v>8000</v>
      </c>
      <c r="M263" s="14" t="n">
        <v>8647</v>
      </c>
    </row>
    <row r="264" customFormat="false" ht="14.25" hidden="false" customHeight="false" outlineLevel="0" collapsed="false">
      <c r="A264" s="11" t="s">
        <v>1161</v>
      </c>
      <c r="B264" s="2" t="s">
        <v>129</v>
      </c>
      <c r="C264" s="2" t="s">
        <v>130</v>
      </c>
      <c r="D264" s="2" t="s">
        <v>1162</v>
      </c>
      <c r="E264" s="2" t="s">
        <v>406</v>
      </c>
      <c r="F264" s="2" t="s">
        <v>81</v>
      </c>
      <c r="G264" s="2" t="s">
        <v>206</v>
      </c>
      <c r="H264" s="2" t="s">
        <v>176</v>
      </c>
      <c r="I264" s="2" t="s">
        <v>1163</v>
      </c>
      <c r="J264" s="2" t="s">
        <v>1164</v>
      </c>
      <c r="K264" s="2"/>
      <c r="L264" s="2" t="n">
        <v>8000</v>
      </c>
      <c r="M264" s="12" t="n">
        <v>2241</v>
      </c>
    </row>
    <row r="265" customFormat="false" ht="14.25" hidden="false" customHeight="false" outlineLevel="0" collapsed="false">
      <c r="A265" s="13" t="s">
        <v>1165</v>
      </c>
      <c r="B265" s="4" t="s">
        <v>140</v>
      </c>
      <c r="C265" s="4" t="s">
        <v>141</v>
      </c>
      <c r="D265" s="4" t="s">
        <v>1116</v>
      </c>
      <c r="E265" s="4" t="s">
        <v>161</v>
      </c>
      <c r="F265" s="4" t="s">
        <v>625</v>
      </c>
      <c r="G265" s="4" t="s">
        <v>206</v>
      </c>
      <c r="H265" s="4" t="s">
        <v>355</v>
      </c>
      <c r="I265" s="4" t="s">
        <v>345</v>
      </c>
      <c r="J265" s="4" t="s">
        <v>578</v>
      </c>
      <c r="K265" s="4"/>
      <c r="L265" s="4" t="n">
        <v>2000</v>
      </c>
      <c r="M265" s="14" t="n">
        <v>0</v>
      </c>
    </row>
    <row r="266" customFormat="false" ht="14.25" hidden="false" customHeight="false" outlineLevel="0" collapsed="false">
      <c r="A266" s="11" t="s">
        <v>1166</v>
      </c>
      <c r="B266" s="2" t="s">
        <v>88</v>
      </c>
      <c r="C266" s="2" t="s">
        <v>89</v>
      </c>
      <c r="D266" s="2" t="s">
        <v>1167</v>
      </c>
      <c r="E266" s="2" t="s">
        <v>225</v>
      </c>
      <c r="F266" s="2" t="s">
        <v>62</v>
      </c>
      <c r="G266" s="2" t="s">
        <v>169</v>
      </c>
      <c r="H266" s="2" t="s">
        <v>281</v>
      </c>
      <c r="I266" s="2" t="s">
        <v>1168</v>
      </c>
      <c r="J266" s="2" t="s">
        <v>437</v>
      </c>
      <c r="K266" s="2" t="s">
        <v>1169</v>
      </c>
      <c r="L266" s="2" t="n">
        <v>3000</v>
      </c>
      <c r="M266" s="12" t="n">
        <v>3208</v>
      </c>
    </row>
    <row r="267" customFormat="false" ht="14.25" hidden="false" customHeight="false" outlineLevel="0" collapsed="false">
      <c r="A267" s="13" t="s">
        <v>1170</v>
      </c>
      <c r="B267" s="4" t="s">
        <v>136</v>
      </c>
      <c r="C267" s="4" t="s">
        <v>137</v>
      </c>
      <c r="D267" s="4" t="s">
        <v>1171</v>
      </c>
      <c r="E267" s="4" t="s">
        <v>371</v>
      </c>
      <c r="F267" s="4" t="s">
        <v>50</v>
      </c>
      <c r="G267" s="4" t="s">
        <v>182</v>
      </c>
      <c r="H267" s="4" t="s">
        <v>244</v>
      </c>
      <c r="I267" s="4" t="s">
        <v>1172</v>
      </c>
      <c r="J267" s="4" t="s">
        <v>1028</v>
      </c>
      <c r="K267" s="4"/>
      <c r="L267" s="4" t="n">
        <v>2000</v>
      </c>
      <c r="M267" s="14" t="n">
        <v>1335</v>
      </c>
    </row>
    <row r="268" customFormat="false" ht="14.25" hidden="false" customHeight="false" outlineLevel="0" collapsed="false">
      <c r="A268" s="11" t="s">
        <v>1173</v>
      </c>
      <c r="B268" s="2" t="s">
        <v>129</v>
      </c>
      <c r="C268" s="2" t="s">
        <v>130</v>
      </c>
      <c r="D268" s="2" t="s">
        <v>1019</v>
      </c>
      <c r="E268" s="2" t="s">
        <v>7</v>
      </c>
      <c r="F268" s="2" t="s">
        <v>18</v>
      </c>
      <c r="G268" s="2" t="s">
        <v>226</v>
      </c>
      <c r="H268" s="2" t="s">
        <v>239</v>
      </c>
      <c r="I268" s="2" t="s">
        <v>1174</v>
      </c>
      <c r="J268" s="2" t="s">
        <v>1175</v>
      </c>
      <c r="K268" s="2" t="s">
        <v>1176</v>
      </c>
      <c r="L268" s="2" t="n">
        <v>3000</v>
      </c>
      <c r="M268" s="12" t="n">
        <v>2451</v>
      </c>
    </row>
    <row r="269" customFormat="false" ht="14.25" hidden="false" customHeight="false" outlineLevel="0" collapsed="false">
      <c r="A269" s="13" t="s">
        <v>1177</v>
      </c>
      <c r="B269" s="4" t="s">
        <v>116</v>
      </c>
      <c r="C269" s="4" t="s">
        <v>117</v>
      </c>
      <c r="D269" s="4" t="s">
        <v>725</v>
      </c>
      <c r="E269" s="4" t="s">
        <v>392</v>
      </c>
      <c r="F269" s="4" t="s">
        <v>37</v>
      </c>
      <c r="G269" s="4" t="s">
        <v>243</v>
      </c>
      <c r="H269" s="4" t="s">
        <v>227</v>
      </c>
      <c r="I269" s="4" t="s">
        <v>1178</v>
      </c>
      <c r="J269" s="4" t="s">
        <v>262</v>
      </c>
      <c r="K269" s="4"/>
      <c r="L269" s="4" t="n">
        <v>8000</v>
      </c>
      <c r="M269" s="14" t="n">
        <v>2238</v>
      </c>
    </row>
    <row r="270" customFormat="false" ht="14.25" hidden="false" customHeight="false" outlineLevel="0" collapsed="false">
      <c r="A270" s="11" t="s">
        <v>1179</v>
      </c>
      <c r="B270" s="2" t="s">
        <v>120</v>
      </c>
      <c r="C270" s="2" t="s">
        <v>121</v>
      </c>
      <c r="D270" s="2" t="s">
        <v>1180</v>
      </c>
      <c r="E270" s="2" t="s">
        <v>260</v>
      </c>
      <c r="F270" s="2" t="s">
        <v>326</v>
      </c>
      <c r="G270" s="2" t="s">
        <v>275</v>
      </c>
      <c r="H270" s="2" t="s">
        <v>276</v>
      </c>
      <c r="I270" s="2" t="s">
        <v>203</v>
      </c>
      <c r="J270" s="2" t="s">
        <v>1141</v>
      </c>
      <c r="K270" s="2"/>
      <c r="L270" s="2" t="n">
        <v>1500</v>
      </c>
      <c r="M270" s="12" t="n">
        <v>0</v>
      </c>
    </row>
    <row r="271" customFormat="false" ht="14.25" hidden="false" customHeight="false" outlineLevel="0" collapsed="false">
      <c r="A271" s="13" t="s">
        <v>1181</v>
      </c>
      <c r="B271" s="4" t="s">
        <v>136</v>
      </c>
      <c r="C271" s="4" t="s">
        <v>137</v>
      </c>
      <c r="D271" s="4" t="s">
        <v>525</v>
      </c>
      <c r="E271" s="4" t="s">
        <v>34</v>
      </c>
      <c r="F271" s="4" t="s">
        <v>73</v>
      </c>
      <c r="G271" s="4" t="s">
        <v>434</v>
      </c>
      <c r="H271" s="4" t="s">
        <v>249</v>
      </c>
      <c r="I271" s="4" t="s">
        <v>1182</v>
      </c>
      <c r="J271" s="4" t="s">
        <v>906</v>
      </c>
      <c r="K271" s="4" t="s">
        <v>1150</v>
      </c>
      <c r="L271" s="4" t="n">
        <v>2500</v>
      </c>
      <c r="M271" s="14" t="n">
        <v>2372</v>
      </c>
    </row>
    <row r="272" customFormat="false" ht="14.25" hidden="false" customHeight="false" outlineLevel="0" collapsed="false">
      <c r="A272" s="11" t="s">
        <v>1183</v>
      </c>
      <c r="B272" s="2" t="s">
        <v>147</v>
      </c>
      <c r="C272" s="2" t="s">
        <v>148</v>
      </c>
      <c r="D272" s="2" t="s">
        <v>1184</v>
      </c>
      <c r="E272" s="2" t="s">
        <v>44</v>
      </c>
      <c r="F272" s="2" t="s">
        <v>79</v>
      </c>
      <c r="G272" s="2" t="s">
        <v>226</v>
      </c>
      <c r="H272" s="2" t="s">
        <v>170</v>
      </c>
      <c r="I272" s="2" t="s">
        <v>695</v>
      </c>
      <c r="J272" s="2" t="s">
        <v>1185</v>
      </c>
      <c r="K272" s="2"/>
      <c r="L272" s="2" t="n">
        <v>5000</v>
      </c>
      <c r="M272" s="12" t="n">
        <v>1935</v>
      </c>
    </row>
    <row r="273" customFormat="false" ht="14.25" hidden="false" customHeight="false" outlineLevel="0" collapsed="false">
      <c r="A273" s="13" t="s">
        <v>1186</v>
      </c>
      <c r="B273" s="4" t="s">
        <v>143</v>
      </c>
      <c r="C273" s="4" t="s">
        <v>144</v>
      </c>
      <c r="D273" s="4" t="s">
        <v>417</v>
      </c>
      <c r="E273" s="4" t="s">
        <v>232</v>
      </c>
      <c r="F273" s="4" t="s">
        <v>18</v>
      </c>
      <c r="G273" s="4" t="s">
        <v>226</v>
      </c>
      <c r="H273" s="4" t="s">
        <v>517</v>
      </c>
      <c r="I273" s="4" t="s">
        <v>1187</v>
      </c>
      <c r="J273" s="4" t="s">
        <v>1188</v>
      </c>
      <c r="K273" s="4"/>
      <c r="L273" s="4" t="n">
        <v>4000</v>
      </c>
      <c r="M273" s="14" t="n">
        <v>0</v>
      </c>
    </row>
    <row r="274" customFormat="false" ht="14.25" hidden="false" customHeight="false" outlineLevel="0" collapsed="false">
      <c r="A274" s="11" t="s">
        <v>1189</v>
      </c>
      <c r="B274" s="2" t="s">
        <v>93</v>
      </c>
      <c r="C274" s="2" t="s">
        <v>94</v>
      </c>
      <c r="D274" s="2" t="s">
        <v>1084</v>
      </c>
      <c r="E274" s="2" t="s">
        <v>463</v>
      </c>
      <c r="F274" s="2" t="s">
        <v>73</v>
      </c>
      <c r="G274" s="2" t="s">
        <v>162</v>
      </c>
      <c r="H274" s="2" t="s">
        <v>412</v>
      </c>
      <c r="I274" s="2" t="s">
        <v>1190</v>
      </c>
      <c r="J274" s="2" t="s">
        <v>1191</v>
      </c>
      <c r="K274" s="2" t="s">
        <v>1192</v>
      </c>
      <c r="L274" s="2" t="n">
        <v>3000</v>
      </c>
      <c r="M274" s="12" t="n">
        <v>2584</v>
      </c>
    </row>
    <row r="275" customFormat="false" ht="14.25" hidden="false" customHeight="false" outlineLevel="0" collapsed="false">
      <c r="A275" s="13" t="s">
        <v>1193</v>
      </c>
      <c r="B275" s="4" t="s">
        <v>103</v>
      </c>
      <c r="C275" s="4" t="s">
        <v>104</v>
      </c>
      <c r="D275" s="4" t="s">
        <v>1194</v>
      </c>
      <c r="E275" s="4" t="s">
        <v>330</v>
      </c>
      <c r="F275" s="4" t="s">
        <v>79</v>
      </c>
      <c r="G275" s="4" t="s">
        <v>200</v>
      </c>
      <c r="H275" s="4" t="s">
        <v>219</v>
      </c>
      <c r="I275" s="4" t="s">
        <v>1195</v>
      </c>
      <c r="J275" s="4" t="s">
        <v>1196</v>
      </c>
      <c r="K275" s="4" t="s">
        <v>1197</v>
      </c>
      <c r="L275" s="4" t="n">
        <v>1000</v>
      </c>
      <c r="M275" s="14" t="n">
        <v>1015</v>
      </c>
    </row>
    <row r="276" customFormat="false" ht="14.25" hidden="false" customHeight="false" outlineLevel="0" collapsed="false">
      <c r="A276" s="11" t="s">
        <v>1198</v>
      </c>
      <c r="B276" s="2" t="s">
        <v>116</v>
      </c>
      <c r="C276" s="2" t="s">
        <v>117</v>
      </c>
      <c r="D276" s="2" t="s">
        <v>439</v>
      </c>
      <c r="E276" s="2" t="s">
        <v>63</v>
      </c>
      <c r="F276" s="2" t="s">
        <v>12</v>
      </c>
      <c r="G276" s="2" t="s">
        <v>169</v>
      </c>
      <c r="H276" s="2" t="s">
        <v>183</v>
      </c>
      <c r="I276" s="2" t="s">
        <v>1199</v>
      </c>
      <c r="J276" s="2" t="s">
        <v>637</v>
      </c>
      <c r="K276" s="2" t="s">
        <v>1200</v>
      </c>
      <c r="L276" s="2" t="n">
        <v>10000</v>
      </c>
      <c r="M276" s="12" t="n">
        <v>11220</v>
      </c>
    </row>
    <row r="277" customFormat="false" ht="14.25" hidden="false" customHeight="false" outlineLevel="0" collapsed="false">
      <c r="A277" s="13" t="s">
        <v>1201</v>
      </c>
      <c r="B277" s="4" t="s">
        <v>136</v>
      </c>
      <c r="C277" s="4" t="s">
        <v>137</v>
      </c>
      <c r="D277" s="4" t="s">
        <v>533</v>
      </c>
      <c r="E277" s="4" t="s">
        <v>34</v>
      </c>
      <c r="F277" s="4" t="s">
        <v>43</v>
      </c>
      <c r="G277" s="4" t="s">
        <v>169</v>
      </c>
      <c r="H277" s="4" t="s">
        <v>219</v>
      </c>
      <c r="I277" s="4" t="s">
        <v>553</v>
      </c>
      <c r="J277" s="4" t="s">
        <v>1202</v>
      </c>
      <c r="K277" s="4" t="s">
        <v>1203</v>
      </c>
      <c r="L277" s="4" t="n">
        <v>2500</v>
      </c>
      <c r="M277" s="14" t="n">
        <v>2376</v>
      </c>
    </row>
    <row r="278" customFormat="false" ht="14.25" hidden="false" customHeight="false" outlineLevel="0" collapsed="false">
      <c r="A278" s="11" t="s">
        <v>1204</v>
      </c>
      <c r="B278" s="2" t="s">
        <v>120</v>
      </c>
      <c r="C278" s="2" t="s">
        <v>121</v>
      </c>
      <c r="D278" s="2" t="s">
        <v>401</v>
      </c>
      <c r="E278" s="2" t="s">
        <v>392</v>
      </c>
      <c r="F278" s="2" t="s">
        <v>79</v>
      </c>
      <c r="G278" s="2" t="s">
        <v>169</v>
      </c>
      <c r="H278" s="2" t="s">
        <v>219</v>
      </c>
      <c r="I278" s="2" t="s">
        <v>1205</v>
      </c>
      <c r="J278" s="2" t="s">
        <v>920</v>
      </c>
      <c r="K278" s="2" t="s">
        <v>1206</v>
      </c>
      <c r="L278" s="2"/>
      <c r="M278" s="12" t="n">
        <v>1656</v>
      </c>
    </row>
    <row r="279" customFormat="false" ht="14.25" hidden="false" customHeight="false" outlineLevel="0" collapsed="false">
      <c r="A279" s="13" t="s">
        <v>1207</v>
      </c>
      <c r="B279" s="4" t="s">
        <v>125</v>
      </c>
      <c r="C279" s="4" t="s">
        <v>126</v>
      </c>
      <c r="D279" s="4" t="s">
        <v>205</v>
      </c>
      <c r="E279" s="4" t="s">
        <v>238</v>
      </c>
      <c r="F279" s="4" t="s">
        <v>10</v>
      </c>
      <c r="G279" s="4" t="s">
        <v>206</v>
      </c>
      <c r="H279" s="4" t="s">
        <v>276</v>
      </c>
      <c r="I279" s="4" t="s">
        <v>1208</v>
      </c>
      <c r="J279" s="4" t="s">
        <v>1209</v>
      </c>
      <c r="K279" s="4"/>
      <c r="L279" s="4" t="n">
        <v>2000</v>
      </c>
      <c r="M279" s="14" t="n">
        <v>0</v>
      </c>
    </row>
    <row r="280" customFormat="false" ht="14.25" hidden="false" customHeight="false" outlineLevel="0" collapsed="false">
      <c r="A280" s="11" t="s">
        <v>687</v>
      </c>
      <c r="B280" s="2" t="s">
        <v>143</v>
      </c>
      <c r="C280" s="2" t="s">
        <v>144</v>
      </c>
      <c r="D280" s="2" t="s">
        <v>688</v>
      </c>
      <c r="E280" s="2" t="s">
        <v>54</v>
      </c>
      <c r="F280" s="2" t="s">
        <v>689</v>
      </c>
      <c r="G280" s="2" t="s">
        <v>206</v>
      </c>
      <c r="H280" s="2" t="s">
        <v>219</v>
      </c>
      <c r="I280" s="2" t="s">
        <v>690</v>
      </c>
      <c r="J280" s="2" t="s">
        <v>250</v>
      </c>
      <c r="K280" s="2" t="s">
        <v>250</v>
      </c>
      <c r="L280" s="2" t="n">
        <v>6000</v>
      </c>
      <c r="M280" s="12" t="n">
        <v>5085</v>
      </c>
    </row>
    <row r="281" customFormat="false" ht="14.25" hidden="false" customHeight="false" outlineLevel="0" collapsed="false">
      <c r="A281" s="13" t="s">
        <v>1210</v>
      </c>
      <c r="B281" s="4" t="s">
        <v>108</v>
      </c>
      <c r="C281" s="4" t="s">
        <v>109</v>
      </c>
      <c r="D281" s="4" t="s">
        <v>478</v>
      </c>
      <c r="E281" s="4" t="s">
        <v>174</v>
      </c>
      <c r="F281" s="4" t="s">
        <v>73</v>
      </c>
      <c r="G281" s="4" t="s">
        <v>206</v>
      </c>
      <c r="H281" s="4" t="s">
        <v>212</v>
      </c>
      <c r="I281" s="4" t="s">
        <v>1211</v>
      </c>
      <c r="J281" s="4" t="s">
        <v>1212</v>
      </c>
      <c r="K281" s="4"/>
      <c r="L281" s="4" t="n">
        <v>1500</v>
      </c>
      <c r="M281" s="14" t="n">
        <v>994</v>
      </c>
    </row>
    <row r="282" customFormat="false" ht="14.25" hidden="false" customHeight="false" outlineLevel="0" collapsed="false">
      <c r="A282" s="11" t="s">
        <v>1213</v>
      </c>
      <c r="B282" s="2" t="s">
        <v>108</v>
      </c>
      <c r="C282" s="2" t="s">
        <v>109</v>
      </c>
      <c r="D282" s="2" t="s">
        <v>1214</v>
      </c>
      <c r="E282" s="2" t="s">
        <v>274</v>
      </c>
      <c r="F282" s="2" t="s">
        <v>75</v>
      </c>
      <c r="G282" s="2" t="s">
        <v>200</v>
      </c>
      <c r="H282" s="2" t="s">
        <v>412</v>
      </c>
      <c r="I282" s="2" t="s">
        <v>1215</v>
      </c>
      <c r="J282" s="2" t="s">
        <v>388</v>
      </c>
      <c r="K282" s="2" t="s">
        <v>981</v>
      </c>
      <c r="L282" s="2" t="n">
        <v>2500</v>
      </c>
      <c r="M282" s="12" t="n">
        <v>2251</v>
      </c>
    </row>
    <row r="283" customFormat="false" ht="14.25" hidden="false" customHeight="false" outlineLevel="0" collapsed="false">
      <c r="A283" s="13" t="s">
        <v>1216</v>
      </c>
      <c r="B283" s="4" t="s">
        <v>140</v>
      </c>
      <c r="C283" s="4" t="s">
        <v>141</v>
      </c>
      <c r="D283" s="4" t="s">
        <v>1194</v>
      </c>
      <c r="E283" s="4" t="s">
        <v>411</v>
      </c>
      <c r="F283" s="4" t="s">
        <v>24</v>
      </c>
      <c r="G283" s="4" t="s">
        <v>169</v>
      </c>
      <c r="H283" s="4" t="s">
        <v>355</v>
      </c>
      <c r="I283" s="4" t="s">
        <v>1217</v>
      </c>
      <c r="J283" s="4" t="s">
        <v>695</v>
      </c>
      <c r="K283" s="4"/>
      <c r="L283" s="4" t="n">
        <v>5000</v>
      </c>
      <c r="M283" s="14" t="n">
        <v>0</v>
      </c>
    </row>
    <row r="284" customFormat="false" ht="14.25" hidden="false" customHeight="false" outlineLevel="0" collapsed="false">
      <c r="A284" s="11" t="s">
        <v>1218</v>
      </c>
      <c r="B284" s="2" t="s">
        <v>143</v>
      </c>
      <c r="C284" s="2" t="s">
        <v>144</v>
      </c>
      <c r="D284" s="2" t="s">
        <v>941</v>
      </c>
      <c r="E284" s="2" t="s">
        <v>174</v>
      </c>
      <c r="F284" s="2" t="s">
        <v>12</v>
      </c>
      <c r="G284" s="2" t="s">
        <v>243</v>
      </c>
      <c r="H284" s="2" t="s">
        <v>249</v>
      </c>
      <c r="I284" s="2" t="s">
        <v>1219</v>
      </c>
      <c r="J284" s="2" t="s">
        <v>1220</v>
      </c>
      <c r="K284" s="2" t="s">
        <v>1221</v>
      </c>
      <c r="L284" s="2" t="n">
        <v>6000</v>
      </c>
      <c r="M284" s="12" t="n">
        <v>4896</v>
      </c>
    </row>
    <row r="285" customFormat="false" ht="14.25" hidden="false" customHeight="false" outlineLevel="0" collapsed="false">
      <c r="A285" s="13" t="s">
        <v>1222</v>
      </c>
      <c r="B285" s="4" t="s">
        <v>120</v>
      </c>
      <c r="C285" s="4" t="s">
        <v>121</v>
      </c>
      <c r="D285" s="4" t="s">
        <v>661</v>
      </c>
      <c r="E285" s="4" t="s">
        <v>406</v>
      </c>
      <c r="F285" s="4" t="s">
        <v>60</v>
      </c>
      <c r="G285" s="4" t="s">
        <v>189</v>
      </c>
      <c r="H285" s="4" t="s">
        <v>207</v>
      </c>
      <c r="I285" s="4" t="s">
        <v>1223</v>
      </c>
      <c r="J285" s="4" t="s">
        <v>1224</v>
      </c>
      <c r="K285" s="4"/>
      <c r="L285" s="4" t="n">
        <v>2500</v>
      </c>
      <c r="M285" s="14" t="n">
        <v>0</v>
      </c>
    </row>
    <row r="286" customFormat="false" ht="14.25" hidden="false" customHeight="false" outlineLevel="0" collapsed="false">
      <c r="A286" s="11" t="s">
        <v>1225</v>
      </c>
      <c r="B286" s="2" t="s">
        <v>147</v>
      </c>
      <c r="C286" s="2" t="s">
        <v>148</v>
      </c>
      <c r="D286" s="2" t="s">
        <v>314</v>
      </c>
      <c r="E286" s="2" t="s">
        <v>260</v>
      </c>
      <c r="F286" s="2" t="s">
        <v>29</v>
      </c>
      <c r="G286" s="2" t="s">
        <v>162</v>
      </c>
      <c r="H286" s="2" t="s">
        <v>176</v>
      </c>
      <c r="I286" s="2" t="s">
        <v>1226</v>
      </c>
      <c r="J286" s="2" t="s">
        <v>1227</v>
      </c>
      <c r="K286" s="2"/>
      <c r="L286" s="2" t="n">
        <v>1000</v>
      </c>
      <c r="M286" s="12" t="n">
        <v>620</v>
      </c>
    </row>
    <row r="287" customFormat="false" ht="14.25" hidden="false" customHeight="false" outlineLevel="0" collapsed="false">
      <c r="A287" s="13" t="s">
        <v>1228</v>
      </c>
      <c r="B287" s="4" t="s">
        <v>136</v>
      </c>
      <c r="C287" s="4" t="s">
        <v>137</v>
      </c>
      <c r="D287" s="4" t="s">
        <v>707</v>
      </c>
      <c r="E287" s="4" t="s">
        <v>7</v>
      </c>
      <c r="F287" s="4" t="s">
        <v>37</v>
      </c>
      <c r="G287" s="4" t="s">
        <v>289</v>
      </c>
      <c r="H287" s="4" t="s">
        <v>281</v>
      </c>
      <c r="I287" s="4" t="s">
        <v>1229</v>
      </c>
      <c r="J287" s="4" t="s">
        <v>107</v>
      </c>
      <c r="K287" s="4" t="s">
        <v>171</v>
      </c>
      <c r="L287" s="4" t="n">
        <v>6000</v>
      </c>
      <c r="M287" s="14" t="n">
        <v>8191</v>
      </c>
    </row>
    <row r="288" customFormat="false" ht="14.25" hidden="false" customHeight="false" outlineLevel="0" collapsed="false">
      <c r="A288" s="11" t="s">
        <v>1230</v>
      </c>
      <c r="B288" s="2" t="s">
        <v>93</v>
      </c>
      <c r="C288" s="2" t="s">
        <v>94</v>
      </c>
      <c r="D288" s="2" t="s">
        <v>1231</v>
      </c>
      <c r="E288" s="2" t="s">
        <v>34</v>
      </c>
      <c r="F288" s="2" t="s">
        <v>26</v>
      </c>
      <c r="G288" s="2" t="s">
        <v>289</v>
      </c>
      <c r="H288" s="2" t="s">
        <v>290</v>
      </c>
      <c r="I288" s="2" t="s">
        <v>913</v>
      </c>
      <c r="J288" s="2" t="s">
        <v>1232</v>
      </c>
      <c r="K288" s="2" t="s">
        <v>678</v>
      </c>
      <c r="L288" s="2" t="n">
        <v>2000</v>
      </c>
      <c r="M288" s="12" t="n">
        <v>1434</v>
      </c>
    </row>
    <row r="289" customFormat="false" ht="14.25" hidden="false" customHeight="false" outlineLevel="0" collapsed="false">
      <c r="A289" s="13" t="s">
        <v>1233</v>
      </c>
      <c r="B289" s="4" t="s">
        <v>116</v>
      </c>
      <c r="C289" s="4" t="s">
        <v>117</v>
      </c>
      <c r="D289" s="4" t="s">
        <v>1234</v>
      </c>
      <c r="E289" s="4" t="s">
        <v>254</v>
      </c>
      <c r="F289" s="4" t="s">
        <v>29</v>
      </c>
      <c r="G289" s="4" t="s">
        <v>182</v>
      </c>
      <c r="H289" s="4" t="s">
        <v>163</v>
      </c>
      <c r="I289" s="4" t="s">
        <v>361</v>
      </c>
      <c r="J289" s="4" t="s">
        <v>907</v>
      </c>
      <c r="K289" s="4" t="s">
        <v>312</v>
      </c>
      <c r="L289" s="4" t="n">
        <v>2500</v>
      </c>
      <c r="M289" s="14" t="n">
        <v>2532</v>
      </c>
    </row>
    <row r="290" customFormat="false" ht="14.25" hidden="false" customHeight="false" outlineLevel="0" collapsed="false">
      <c r="A290" s="11" t="s">
        <v>1235</v>
      </c>
      <c r="B290" s="2" t="s">
        <v>103</v>
      </c>
      <c r="C290" s="2" t="s">
        <v>104</v>
      </c>
      <c r="D290" s="2" t="s">
        <v>934</v>
      </c>
      <c r="E290" s="2" t="s">
        <v>274</v>
      </c>
      <c r="F290" s="2" t="s">
        <v>62</v>
      </c>
      <c r="G290" s="2" t="s">
        <v>189</v>
      </c>
      <c r="H290" s="2" t="s">
        <v>239</v>
      </c>
      <c r="I290" s="2" t="s">
        <v>1236</v>
      </c>
      <c r="J290" s="2" t="s">
        <v>1196</v>
      </c>
      <c r="K290" s="2" t="s">
        <v>1197</v>
      </c>
      <c r="L290" s="2" t="n">
        <v>4000</v>
      </c>
      <c r="M290" s="12" t="n">
        <v>3867</v>
      </c>
    </row>
    <row r="291" customFormat="false" ht="14.25" hidden="false" customHeight="false" outlineLevel="0" collapsed="false">
      <c r="A291" s="13" t="s">
        <v>1237</v>
      </c>
      <c r="B291" s="4" t="s">
        <v>125</v>
      </c>
      <c r="C291" s="4" t="s">
        <v>126</v>
      </c>
      <c r="D291" s="4" t="s">
        <v>1238</v>
      </c>
      <c r="E291" s="4" t="s">
        <v>458</v>
      </c>
      <c r="F291" s="4" t="s">
        <v>62</v>
      </c>
      <c r="G291" s="4" t="s">
        <v>226</v>
      </c>
      <c r="H291" s="4" t="s">
        <v>212</v>
      </c>
      <c r="I291" s="4" t="s">
        <v>859</v>
      </c>
      <c r="J291" s="4" t="s">
        <v>1239</v>
      </c>
      <c r="K291" s="4"/>
      <c r="L291" s="4" t="n">
        <v>2500</v>
      </c>
      <c r="M291" s="14" t="n">
        <v>1249</v>
      </c>
    </row>
    <row r="292" customFormat="false" ht="14.25" hidden="false" customHeight="false" outlineLevel="0" collapsed="false">
      <c r="A292" s="11" t="s">
        <v>1240</v>
      </c>
      <c r="B292" s="2" t="s">
        <v>129</v>
      </c>
      <c r="C292" s="2" t="s">
        <v>130</v>
      </c>
      <c r="D292" s="2" t="s">
        <v>1241</v>
      </c>
      <c r="E292" s="2" t="s">
        <v>260</v>
      </c>
      <c r="F292" s="2" t="s">
        <v>43</v>
      </c>
      <c r="G292" s="2" t="s">
        <v>226</v>
      </c>
      <c r="H292" s="2" t="s">
        <v>183</v>
      </c>
      <c r="I292" s="2" t="s">
        <v>375</v>
      </c>
      <c r="J292" s="2" t="s">
        <v>1242</v>
      </c>
      <c r="K292" s="2" t="s">
        <v>1243</v>
      </c>
      <c r="L292" s="2" t="n">
        <v>8000</v>
      </c>
      <c r="M292" s="12" t="n">
        <v>11105</v>
      </c>
    </row>
    <row r="293" customFormat="false" ht="14.25" hidden="false" customHeight="false" outlineLevel="0" collapsed="false">
      <c r="A293" s="13" t="s">
        <v>1244</v>
      </c>
      <c r="B293" s="4" t="s">
        <v>88</v>
      </c>
      <c r="C293" s="4" t="s">
        <v>89</v>
      </c>
      <c r="D293" s="4" t="s">
        <v>810</v>
      </c>
      <c r="E293" s="4" t="s">
        <v>349</v>
      </c>
      <c r="F293" s="4" t="s">
        <v>73</v>
      </c>
      <c r="G293" s="4" t="s">
        <v>189</v>
      </c>
      <c r="H293" s="4" t="s">
        <v>281</v>
      </c>
      <c r="I293" s="4" t="s">
        <v>962</v>
      </c>
      <c r="J293" s="4" t="s">
        <v>931</v>
      </c>
      <c r="K293" s="4" t="s">
        <v>1245</v>
      </c>
      <c r="L293" s="4" t="n">
        <v>1500</v>
      </c>
      <c r="M293" s="14" t="n">
        <v>1984</v>
      </c>
    </row>
    <row r="294" customFormat="false" ht="14.25" hidden="false" customHeight="false" outlineLevel="0" collapsed="false">
      <c r="A294" s="11" t="s">
        <v>1121</v>
      </c>
      <c r="B294" s="2" t="s">
        <v>108</v>
      </c>
      <c r="C294" s="2" t="s">
        <v>109</v>
      </c>
      <c r="D294" s="2" t="s">
        <v>1122</v>
      </c>
      <c r="E294" s="2" t="s">
        <v>217</v>
      </c>
      <c r="F294" s="2" t="s">
        <v>1123</v>
      </c>
      <c r="G294" s="2" t="s">
        <v>182</v>
      </c>
      <c r="H294" s="2" t="s">
        <v>163</v>
      </c>
      <c r="I294" s="2" t="s">
        <v>873</v>
      </c>
      <c r="J294" s="2" t="s">
        <v>758</v>
      </c>
      <c r="K294" s="2" t="s">
        <v>1124</v>
      </c>
      <c r="L294" s="2" t="n">
        <v>4000</v>
      </c>
      <c r="M294" s="12" t="n">
        <v>5388</v>
      </c>
    </row>
    <row r="295" customFormat="false" ht="14.25" hidden="false" customHeight="false" outlineLevel="0" collapsed="false">
      <c r="A295" s="13" t="s">
        <v>1246</v>
      </c>
      <c r="B295" s="4" t="s">
        <v>133</v>
      </c>
      <c r="C295" s="4" t="s">
        <v>134</v>
      </c>
      <c r="D295" s="4" t="s">
        <v>840</v>
      </c>
      <c r="E295" s="4" t="s">
        <v>232</v>
      </c>
      <c r="F295" s="4" t="s">
        <v>40</v>
      </c>
      <c r="G295" s="4" t="s">
        <v>289</v>
      </c>
      <c r="H295" s="4" t="s">
        <v>163</v>
      </c>
      <c r="I295" s="4" t="s">
        <v>119</v>
      </c>
      <c r="J295" s="4" t="s">
        <v>1247</v>
      </c>
      <c r="K295" s="4" t="s">
        <v>1248</v>
      </c>
      <c r="L295" s="4" t="n">
        <v>1500</v>
      </c>
      <c r="M295" s="14" t="n">
        <v>1349</v>
      </c>
    </row>
    <row r="296" customFormat="false" ht="14.25" hidden="false" customHeight="false" outlineLevel="0" collapsed="false">
      <c r="A296" s="11" t="s">
        <v>1249</v>
      </c>
      <c r="B296" s="2" t="s">
        <v>125</v>
      </c>
      <c r="C296" s="2" t="s">
        <v>126</v>
      </c>
      <c r="D296" s="2" t="s">
        <v>354</v>
      </c>
      <c r="E296" s="2" t="s">
        <v>174</v>
      </c>
      <c r="F296" s="2" t="s">
        <v>6</v>
      </c>
      <c r="G296" s="2" t="s">
        <v>275</v>
      </c>
      <c r="H296" s="2" t="s">
        <v>194</v>
      </c>
      <c r="I296" s="2" t="s">
        <v>1224</v>
      </c>
      <c r="J296" s="2" t="s">
        <v>1217</v>
      </c>
      <c r="K296" s="2" t="s">
        <v>1217</v>
      </c>
      <c r="L296" s="2" t="n">
        <v>2000</v>
      </c>
      <c r="M296" s="12" t="n">
        <v>2018</v>
      </c>
    </row>
    <row r="297" customFormat="false" ht="14.25" hidden="false" customHeight="false" outlineLevel="0" collapsed="false">
      <c r="A297" s="13" t="s">
        <v>1250</v>
      </c>
      <c r="B297" s="4" t="s">
        <v>143</v>
      </c>
      <c r="C297" s="4" t="s">
        <v>144</v>
      </c>
      <c r="D297" s="4" t="s">
        <v>910</v>
      </c>
      <c r="E297" s="4" t="s">
        <v>349</v>
      </c>
      <c r="F297" s="4" t="s">
        <v>40</v>
      </c>
      <c r="G297" s="4" t="s">
        <v>200</v>
      </c>
      <c r="H297" s="4" t="s">
        <v>244</v>
      </c>
      <c r="I297" s="4" t="s">
        <v>1251</v>
      </c>
      <c r="J297" s="4" t="s">
        <v>1252</v>
      </c>
      <c r="K297" s="4"/>
      <c r="L297" s="4" t="n">
        <v>3000</v>
      </c>
      <c r="M297" s="14" t="n">
        <v>2385</v>
      </c>
    </row>
    <row r="298" customFormat="false" ht="14.25" hidden="false" customHeight="false" outlineLevel="0" collapsed="false">
      <c r="A298" s="11" t="s">
        <v>1253</v>
      </c>
      <c r="B298" s="2" t="s">
        <v>120</v>
      </c>
      <c r="C298" s="2" t="s">
        <v>121</v>
      </c>
      <c r="D298" s="2" t="s">
        <v>782</v>
      </c>
      <c r="E298" s="2" t="s">
        <v>260</v>
      </c>
      <c r="F298" s="2" t="s">
        <v>12</v>
      </c>
      <c r="G298" s="2" t="s">
        <v>206</v>
      </c>
      <c r="H298" s="2" t="s">
        <v>290</v>
      </c>
      <c r="I298" s="2" t="s">
        <v>1254</v>
      </c>
      <c r="J298" s="2" t="s">
        <v>1255</v>
      </c>
      <c r="K298" s="2" t="s">
        <v>976</v>
      </c>
      <c r="L298" s="2" t="n">
        <v>5000</v>
      </c>
      <c r="M298" s="12" t="n">
        <v>6722</v>
      </c>
    </row>
    <row r="299" customFormat="false" ht="14.25" hidden="false" customHeight="false" outlineLevel="0" collapsed="false">
      <c r="A299" s="13" t="s">
        <v>1256</v>
      </c>
      <c r="B299" s="4" t="s">
        <v>112</v>
      </c>
      <c r="C299" s="4" t="s">
        <v>113</v>
      </c>
      <c r="D299" s="4" t="s">
        <v>1257</v>
      </c>
      <c r="E299" s="4" t="s">
        <v>21</v>
      </c>
      <c r="F299" s="4" t="s">
        <v>50</v>
      </c>
      <c r="G299" s="4" t="s">
        <v>226</v>
      </c>
      <c r="H299" s="4" t="s">
        <v>227</v>
      </c>
      <c r="I299" s="4" t="s">
        <v>459</v>
      </c>
      <c r="J299" s="4" t="s">
        <v>1258</v>
      </c>
      <c r="K299" s="4"/>
      <c r="L299" s="4" t="n">
        <v>8000</v>
      </c>
      <c r="M299" s="14" t="n">
        <v>5320</v>
      </c>
    </row>
    <row r="300" customFormat="false" ht="14.25" hidden="false" customHeight="false" outlineLevel="0" collapsed="false">
      <c r="A300" s="11" t="s">
        <v>1259</v>
      </c>
      <c r="B300" s="2" t="s">
        <v>136</v>
      </c>
      <c r="C300" s="2" t="s">
        <v>137</v>
      </c>
      <c r="D300" s="2" t="s">
        <v>1260</v>
      </c>
      <c r="E300" s="2" t="s">
        <v>335</v>
      </c>
      <c r="F300" s="2" t="s">
        <v>1261</v>
      </c>
      <c r="G300" s="2" t="s">
        <v>218</v>
      </c>
      <c r="H300" s="2" t="s">
        <v>249</v>
      </c>
      <c r="I300" s="2" t="s">
        <v>1262</v>
      </c>
      <c r="J300" s="2" t="s">
        <v>1263</v>
      </c>
      <c r="K300" s="2" t="s">
        <v>1264</v>
      </c>
      <c r="L300" s="2" t="n">
        <v>2500</v>
      </c>
      <c r="M300" s="12" t="n">
        <v>1754</v>
      </c>
    </row>
    <row r="301" customFormat="false" ht="14.25" hidden="false" customHeight="false" outlineLevel="0" collapsed="false">
      <c r="A301" s="13" t="s">
        <v>1265</v>
      </c>
      <c r="B301" s="4" t="s">
        <v>98</v>
      </c>
      <c r="C301" s="4" t="s">
        <v>99</v>
      </c>
      <c r="D301" s="4" t="s">
        <v>1266</v>
      </c>
      <c r="E301" s="4" t="s">
        <v>225</v>
      </c>
      <c r="F301" s="4" t="s">
        <v>26</v>
      </c>
      <c r="G301" s="4" t="s">
        <v>175</v>
      </c>
      <c r="H301" s="4" t="s">
        <v>517</v>
      </c>
      <c r="I301" s="4" t="s">
        <v>257</v>
      </c>
      <c r="J301" s="4" t="s">
        <v>1267</v>
      </c>
      <c r="K301" s="4"/>
      <c r="L301" s="4" t="n">
        <v>4000</v>
      </c>
      <c r="M301" s="14" t="n">
        <v>0</v>
      </c>
    </row>
    <row r="302" customFormat="false" ht="14.25" hidden="false" customHeight="false" outlineLevel="0" collapsed="false">
      <c r="A302" s="11" t="s">
        <v>1268</v>
      </c>
      <c r="B302" s="2" t="s">
        <v>98</v>
      </c>
      <c r="C302" s="2" t="s">
        <v>99</v>
      </c>
      <c r="D302" s="2" t="s">
        <v>1269</v>
      </c>
      <c r="E302" s="2" t="s">
        <v>161</v>
      </c>
      <c r="F302" s="2" t="s">
        <v>12</v>
      </c>
      <c r="G302" s="2" t="s">
        <v>218</v>
      </c>
      <c r="H302" s="2" t="s">
        <v>170</v>
      </c>
      <c r="I302" s="2" t="s">
        <v>1270</v>
      </c>
      <c r="J302" s="2" t="s">
        <v>1271</v>
      </c>
      <c r="K302" s="2"/>
      <c r="L302" s="2" t="n">
        <v>2000</v>
      </c>
      <c r="M302" s="12" t="n">
        <v>604</v>
      </c>
    </row>
    <row r="303" customFormat="false" ht="14.25" hidden="false" customHeight="false" outlineLevel="0" collapsed="false">
      <c r="A303" s="13" t="s">
        <v>1272</v>
      </c>
      <c r="B303" s="4" t="s">
        <v>143</v>
      </c>
      <c r="C303" s="4" t="s">
        <v>144</v>
      </c>
      <c r="D303" s="4" t="s">
        <v>216</v>
      </c>
      <c r="E303" s="4" t="s">
        <v>174</v>
      </c>
      <c r="F303" s="4" t="s">
        <v>1273</v>
      </c>
      <c r="G303" s="4" t="s">
        <v>434</v>
      </c>
      <c r="H303" s="4" t="s">
        <v>290</v>
      </c>
      <c r="I303" s="4" t="s">
        <v>292</v>
      </c>
      <c r="J303" s="4" t="s">
        <v>241</v>
      </c>
      <c r="K303" s="4" t="s">
        <v>241</v>
      </c>
      <c r="L303" s="4" t="n">
        <v>2000</v>
      </c>
      <c r="M303" s="14" t="n">
        <v>1651</v>
      </c>
    </row>
    <row r="304" customFormat="false" ht="14.25" hidden="false" customHeight="false" outlineLevel="0" collapsed="false">
      <c r="A304" s="11" t="s">
        <v>1274</v>
      </c>
      <c r="B304" s="2" t="s">
        <v>103</v>
      </c>
      <c r="C304" s="2" t="s">
        <v>104</v>
      </c>
      <c r="D304" s="2" t="s">
        <v>1275</v>
      </c>
      <c r="E304" s="2" t="s">
        <v>34</v>
      </c>
      <c r="F304" s="2" t="s">
        <v>799</v>
      </c>
      <c r="G304" s="2" t="s">
        <v>226</v>
      </c>
      <c r="H304" s="2" t="s">
        <v>176</v>
      </c>
      <c r="I304" s="2" t="s">
        <v>1276</v>
      </c>
      <c r="J304" s="2" t="s">
        <v>1277</v>
      </c>
      <c r="K304" s="2"/>
      <c r="L304" s="2" t="n">
        <v>5000</v>
      </c>
      <c r="M304" s="12" t="n">
        <v>3533</v>
      </c>
    </row>
    <row r="305" customFormat="false" ht="14.25" hidden="false" customHeight="false" outlineLevel="0" collapsed="false">
      <c r="A305" s="13" t="s">
        <v>1278</v>
      </c>
      <c r="B305" s="4" t="s">
        <v>125</v>
      </c>
      <c r="C305" s="4" t="s">
        <v>126</v>
      </c>
      <c r="D305" s="4" t="s">
        <v>761</v>
      </c>
      <c r="E305" s="4" t="s">
        <v>174</v>
      </c>
      <c r="F305" s="4" t="s">
        <v>31</v>
      </c>
      <c r="G305" s="4" t="s">
        <v>206</v>
      </c>
      <c r="H305" s="4" t="s">
        <v>290</v>
      </c>
      <c r="I305" s="4" t="s">
        <v>1279</v>
      </c>
      <c r="J305" s="4" t="s">
        <v>1280</v>
      </c>
      <c r="K305" s="4" t="s">
        <v>1281</v>
      </c>
      <c r="L305" s="4" t="n">
        <v>10000</v>
      </c>
      <c r="M305" s="14" t="n">
        <v>12048</v>
      </c>
    </row>
    <row r="306" customFormat="false" ht="14.25" hidden="false" customHeight="false" outlineLevel="0" collapsed="false">
      <c r="A306" s="11" t="s">
        <v>579</v>
      </c>
      <c r="B306" s="2" t="s">
        <v>98</v>
      </c>
      <c r="C306" s="2" t="s">
        <v>99</v>
      </c>
      <c r="D306" s="2" t="s">
        <v>188</v>
      </c>
      <c r="E306" s="2" t="s">
        <v>34</v>
      </c>
      <c r="F306" s="2" t="s">
        <v>79</v>
      </c>
      <c r="G306" s="2" t="s">
        <v>218</v>
      </c>
      <c r="H306" s="2" t="s">
        <v>176</v>
      </c>
      <c r="I306" s="2" t="s">
        <v>580</v>
      </c>
      <c r="J306" s="2" t="s">
        <v>581</v>
      </c>
      <c r="K306" s="2"/>
      <c r="L306" s="2" t="n">
        <v>2500</v>
      </c>
      <c r="M306" s="12" t="n">
        <v>1886</v>
      </c>
    </row>
    <row r="307" customFormat="false" ht="14.25" hidden="false" customHeight="false" outlineLevel="0" collapsed="false">
      <c r="A307" s="13" t="s">
        <v>1282</v>
      </c>
      <c r="B307" s="4" t="s">
        <v>93</v>
      </c>
      <c r="C307" s="4" t="s">
        <v>94</v>
      </c>
      <c r="D307" s="4" t="s">
        <v>1015</v>
      </c>
      <c r="E307" s="4" t="s">
        <v>463</v>
      </c>
      <c r="F307" s="4" t="s">
        <v>62</v>
      </c>
      <c r="G307" s="4" t="s">
        <v>169</v>
      </c>
      <c r="H307" s="4" t="s">
        <v>170</v>
      </c>
      <c r="I307" s="4" t="s">
        <v>1283</v>
      </c>
      <c r="J307" s="4" t="s">
        <v>1284</v>
      </c>
      <c r="K307" s="4"/>
      <c r="L307" s="4" t="n">
        <v>3000</v>
      </c>
      <c r="M307" s="14" t="n">
        <v>2131</v>
      </c>
    </row>
    <row r="308" customFormat="false" ht="14.25" hidden="false" customHeight="false" outlineLevel="0" collapsed="false">
      <c r="A308" s="11" t="s">
        <v>1285</v>
      </c>
      <c r="B308" s="2" t="s">
        <v>125</v>
      </c>
      <c r="C308" s="2" t="s">
        <v>126</v>
      </c>
      <c r="D308" s="2" t="s">
        <v>370</v>
      </c>
      <c r="E308" s="2" t="s">
        <v>21</v>
      </c>
      <c r="F308" s="2" t="s">
        <v>29</v>
      </c>
      <c r="G308" s="2" t="s">
        <v>200</v>
      </c>
      <c r="H308" s="2" t="s">
        <v>281</v>
      </c>
      <c r="I308" s="2" t="s">
        <v>1089</v>
      </c>
      <c r="J308" s="2" t="s">
        <v>202</v>
      </c>
      <c r="K308" s="2" t="s">
        <v>1286</v>
      </c>
      <c r="L308" s="2" t="n">
        <v>3000</v>
      </c>
      <c r="M308" s="12" t="n">
        <v>2708</v>
      </c>
    </row>
    <row r="309" customFormat="false" ht="14.25" hidden="false" customHeight="false" outlineLevel="0" collapsed="false">
      <c r="A309" s="13" t="s">
        <v>1287</v>
      </c>
      <c r="B309" s="4" t="s">
        <v>98</v>
      </c>
      <c r="C309" s="4" t="s">
        <v>99</v>
      </c>
      <c r="D309" s="4" t="s">
        <v>934</v>
      </c>
      <c r="E309" s="4" t="s">
        <v>330</v>
      </c>
      <c r="F309" s="4" t="s">
        <v>57</v>
      </c>
      <c r="G309" s="4" t="s">
        <v>189</v>
      </c>
      <c r="H309" s="4" t="s">
        <v>239</v>
      </c>
      <c r="I309" s="4" t="s">
        <v>1288</v>
      </c>
      <c r="J309" s="4" t="s">
        <v>1289</v>
      </c>
      <c r="K309" s="4" t="s">
        <v>1289</v>
      </c>
      <c r="L309" s="4" t="n">
        <v>1000</v>
      </c>
      <c r="M309" s="14" t="n">
        <v>842</v>
      </c>
    </row>
    <row r="310" customFormat="false" ht="14.25" hidden="false" customHeight="false" outlineLevel="0" collapsed="false">
      <c r="A310" s="11" t="s">
        <v>1290</v>
      </c>
      <c r="B310" s="2" t="s">
        <v>140</v>
      </c>
      <c r="C310" s="2" t="s">
        <v>141</v>
      </c>
      <c r="D310" s="2" t="s">
        <v>1291</v>
      </c>
      <c r="E310" s="2" t="s">
        <v>76</v>
      </c>
      <c r="F310" s="2" t="s">
        <v>79</v>
      </c>
      <c r="G310" s="2" t="s">
        <v>182</v>
      </c>
      <c r="H310" s="2" t="s">
        <v>239</v>
      </c>
      <c r="I310" s="2" t="s">
        <v>1251</v>
      </c>
      <c r="J310" s="2" t="s">
        <v>1292</v>
      </c>
      <c r="K310" s="2" t="s">
        <v>1293</v>
      </c>
      <c r="L310" s="2" t="n">
        <v>2500</v>
      </c>
      <c r="M310" s="12" t="n">
        <v>2217</v>
      </c>
    </row>
    <row r="311" customFormat="false" ht="14.25" hidden="false" customHeight="false" outlineLevel="0" collapsed="false">
      <c r="A311" s="13" t="s">
        <v>1294</v>
      </c>
      <c r="B311" s="4" t="s">
        <v>103</v>
      </c>
      <c r="C311" s="4" t="s">
        <v>104</v>
      </c>
      <c r="D311" s="4" t="s">
        <v>1295</v>
      </c>
      <c r="E311" s="4" t="s">
        <v>406</v>
      </c>
      <c r="F311" s="4" t="s">
        <v>47</v>
      </c>
      <c r="G311" s="4" t="s">
        <v>226</v>
      </c>
      <c r="H311" s="4" t="s">
        <v>212</v>
      </c>
      <c r="I311" s="4" t="s">
        <v>1296</v>
      </c>
      <c r="J311" s="4" t="s">
        <v>1297</v>
      </c>
      <c r="K311" s="4"/>
      <c r="L311" s="4" t="n">
        <v>10000</v>
      </c>
      <c r="M311" s="14" t="n">
        <v>6559</v>
      </c>
    </row>
    <row r="312" customFormat="false" ht="14.25" hidden="false" customHeight="false" outlineLevel="0" collapsed="false">
      <c r="A312" s="11" t="s">
        <v>1298</v>
      </c>
      <c r="B312" s="2" t="s">
        <v>116</v>
      </c>
      <c r="C312" s="2" t="s">
        <v>117</v>
      </c>
      <c r="D312" s="2" t="s">
        <v>1299</v>
      </c>
      <c r="E312" s="2" t="s">
        <v>63</v>
      </c>
      <c r="F312" s="2"/>
      <c r="G312" s="2" t="s">
        <v>200</v>
      </c>
      <c r="H312" s="2" t="s">
        <v>276</v>
      </c>
      <c r="I312" s="2" t="s">
        <v>1300</v>
      </c>
      <c r="J312" s="2" t="s">
        <v>1301</v>
      </c>
      <c r="K312" s="2"/>
      <c r="L312" s="2" t="n">
        <v>10000</v>
      </c>
      <c r="M312" s="12" t="n">
        <v>0</v>
      </c>
    </row>
    <row r="313" customFormat="false" ht="14.25" hidden="false" customHeight="false" outlineLevel="0" collapsed="false">
      <c r="A313" s="13" t="s">
        <v>1302</v>
      </c>
      <c r="B313" s="4" t="s">
        <v>98</v>
      </c>
      <c r="C313" s="4" t="s">
        <v>99</v>
      </c>
      <c r="D313" s="4" t="s">
        <v>447</v>
      </c>
      <c r="E313" s="4" t="s">
        <v>364</v>
      </c>
      <c r="F313" s="4" t="s">
        <v>29</v>
      </c>
      <c r="G313" s="4" t="s">
        <v>243</v>
      </c>
      <c r="H313" s="4" t="s">
        <v>227</v>
      </c>
      <c r="I313" s="4" t="s">
        <v>1303</v>
      </c>
      <c r="J313" s="4" t="s">
        <v>195</v>
      </c>
      <c r="K313" s="4"/>
      <c r="L313" s="4" t="n">
        <v>6000</v>
      </c>
      <c r="M313" s="14" t="n">
        <v>1517</v>
      </c>
    </row>
    <row r="314" customFormat="false" ht="14.25" hidden="false" customHeight="false" outlineLevel="0" collapsed="false">
      <c r="A314" s="11" t="s">
        <v>1304</v>
      </c>
      <c r="B314" s="2" t="s">
        <v>129</v>
      </c>
      <c r="C314" s="2" t="s">
        <v>130</v>
      </c>
      <c r="D314" s="2" t="s">
        <v>193</v>
      </c>
      <c r="E314" s="2" t="s">
        <v>260</v>
      </c>
      <c r="F314" s="2" t="s">
        <v>15</v>
      </c>
      <c r="G314" s="2" t="s">
        <v>226</v>
      </c>
      <c r="H314" s="2" t="s">
        <v>176</v>
      </c>
      <c r="I314" s="2" t="s">
        <v>510</v>
      </c>
      <c r="J314" s="2" t="s">
        <v>1305</v>
      </c>
      <c r="K314" s="2"/>
      <c r="L314" s="2" t="n">
        <v>1500</v>
      </c>
      <c r="M314" s="12" t="n">
        <v>814</v>
      </c>
    </row>
    <row r="315" customFormat="false" ht="14.25" hidden="false" customHeight="false" outlineLevel="0" collapsed="false">
      <c r="A315" s="13" t="s">
        <v>1306</v>
      </c>
      <c r="B315" s="4" t="s">
        <v>103</v>
      </c>
      <c r="C315" s="4" t="s">
        <v>104</v>
      </c>
      <c r="D315" s="4" t="s">
        <v>211</v>
      </c>
      <c r="E315" s="4" t="s">
        <v>458</v>
      </c>
      <c r="F315" s="4" t="s">
        <v>37</v>
      </c>
      <c r="G315" s="4" t="s">
        <v>275</v>
      </c>
      <c r="H315" s="4" t="s">
        <v>170</v>
      </c>
      <c r="I315" s="4" t="s">
        <v>1307</v>
      </c>
      <c r="J315" s="4" t="s">
        <v>1308</v>
      </c>
      <c r="K315" s="4"/>
      <c r="L315" s="4" t="n">
        <v>2500</v>
      </c>
      <c r="M315" s="14" t="n">
        <v>1859</v>
      </c>
    </row>
    <row r="316" customFormat="false" ht="14.25" hidden="false" customHeight="false" outlineLevel="0" collapsed="false">
      <c r="A316" s="11" t="s">
        <v>1309</v>
      </c>
      <c r="B316" s="2" t="s">
        <v>147</v>
      </c>
      <c r="C316" s="2" t="s">
        <v>148</v>
      </c>
      <c r="D316" s="2" t="s">
        <v>1035</v>
      </c>
      <c r="E316" s="2" t="s">
        <v>364</v>
      </c>
      <c r="F316" s="2" t="s">
        <v>50</v>
      </c>
      <c r="G316" s="2" t="s">
        <v>169</v>
      </c>
      <c r="H316" s="2" t="s">
        <v>194</v>
      </c>
      <c r="I316" s="2" t="s">
        <v>1310</v>
      </c>
      <c r="J316" s="2" t="s">
        <v>1311</v>
      </c>
      <c r="K316" s="2" t="s">
        <v>1311</v>
      </c>
      <c r="L316" s="2" t="n">
        <v>1500</v>
      </c>
      <c r="M316" s="12" t="n">
        <v>2034</v>
      </c>
    </row>
    <row r="317" customFormat="false" ht="14.25" hidden="false" customHeight="false" outlineLevel="0" collapsed="false">
      <c r="A317" s="13" t="s">
        <v>1312</v>
      </c>
      <c r="B317" s="4" t="s">
        <v>136</v>
      </c>
      <c r="C317" s="4" t="s">
        <v>137</v>
      </c>
      <c r="D317" s="4" t="s">
        <v>503</v>
      </c>
      <c r="E317" s="4" t="s">
        <v>411</v>
      </c>
      <c r="F317" s="4" t="s">
        <v>20</v>
      </c>
      <c r="G317" s="4" t="s">
        <v>182</v>
      </c>
      <c r="H317" s="4" t="s">
        <v>219</v>
      </c>
      <c r="I317" s="4" t="s">
        <v>776</v>
      </c>
      <c r="J317" s="4" t="s">
        <v>1313</v>
      </c>
      <c r="K317" s="4" t="s">
        <v>331</v>
      </c>
      <c r="L317" s="4" t="n">
        <v>1000</v>
      </c>
      <c r="M317" s="14" t="n">
        <v>1387</v>
      </c>
    </row>
    <row r="318" customFormat="false" ht="14.25" hidden="false" customHeight="false" outlineLevel="0" collapsed="false">
      <c r="A318" s="11" t="s">
        <v>1314</v>
      </c>
      <c r="B318" s="2" t="s">
        <v>147</v>
      </c>
      <c r="C318" s="2" t="s">
        <v>148</v>
      </c>
      <c r="D318" s="2" t="s">
        <v>1315</v>
      </c>
      <c r="E318" s="2" t="s">
        <v>54</v>
      </c>
      <c r="F318" s="2" t="s">
        <v>71</v>
      </c>
      <c r="G318" s="2" t="s">
        <v>434</v>
      </c>
      <c r="H318" s="2" t="s">
        <v>219</v>
      </c>
      <c r="I318" s="2" t="s">
        <v>1316</v>
      </c>
      <c r="J318" s="2" t="s">
        <v>1317</v>
      </c>
      <c r="K318" s="2" t="s">
        <v>261</v>
      </c>
      <c r="L318" s="2" t="n">
        <v>8000</v>
      </c>
      <c r="M318" s="12" t="n">
        <v>8176</v>
      </c>
    </row>
    <row r="319" customFormat="false" ht="14.25" hidden="false" customHeight="false" outlineLevel="0" collapsed="false">
      <c r="A319" s="13" t="s">
        <v>1318</v>
      </c>
      <c r="B319" s="4" t="s">
        <v>93</v>
      </c>
      <c r="C319" s="4" t="s">
        <v>94</v>
      </c>
      <c r="D319" s="4" t="s">
        <v>1319</v>
      </c>
      <c r="E319" s="4" t="s">
        <v>392</v>
      </c>
      <c r="F319" s="4" t="s">
        <v>71</v>
      </c>
      <c r="G319" s="4" t="s">
        <v>275</v>
      </c>
      <c r="H319" s="4" t="s">
        <v>290</v>
      </c>
      <c r="I319" s="4" t="s">
        <v>985</v>
      </c>
      <c r="J319" s="4" t="s">
        <v>1320</v>
      </c>
      <c r="K319" s="4" t="s">
        <v>1320</v>
      </c>
      <c r="L319" s="4" t="n">
        <v>2500</v>
      </c>
      <c r="M319" s="14"/>
    </row>
    <row r="320" customFormat="false" ht="14.25" hidden="false" customHeight="false" outlineLevel="0" collapsed="false">
      <c r="A320" s="11" t="s">
        <v>1321</v>
      </c>
      <c r="B320" s="2" t="s">
        <v>88</v>
      </c>
      <c r="C320" s="2" t="s">
        <v>89</v>
      </c>
      <c r="D320" s="2" t="s">
        <v>1322</v>
      </c>
      <c r="E320" s="2" t="s">
        <v>76</v>
      </c>
      <c r="F320" s="2" t="s">
        <v>799</v>
      </c>
      <c r="G320" s="2" t="s">
        <v>218</v>
      </c>
      <c r="H320" s="2" t="s">
        <v>170</v>
      </c>
      <c r="I320" s="2" t="s">
        <v>1323</v>
      </c>
      <c r="J320" s="2" t="s">
        <v>1324</v>
      </c>
      <c r="K320" s="2"/>
      <c r="L320" s="2" t="n">
        <v>2000</v>
      </c>
      <c r="M320" s="12" t="n">
        <v>734</v>
      </c>
    </row>
    <row r="321" customFormat="false" ht="14.25" hidden="false" customHeight="false" outlineLevel="0" collapsed="false">
      <c r="A321" s="13" t="s">
        <v>1325</v>
      </c>
      <c r="B321" s="4" t="s">
        <v>112</v>
      </c>
      <c r="C321" s="4" t="s">
        <v>113</v>
      </c>
      <c r="D321" s="4" t="s">
        <v>948</v>
      </c>
      <c r="E321" s="4" t="s">
        <v>254</v>
      </c>
      <c r="F321" s="4" t="s">
        <v>75</v>
      </c>
      <c r="G321" s="4" t="s">
        <v>226</v>
      </c>
      <c r="H321" s="4" t="s">
        <v>355</v>
      </c>
      <c r="I321" s="4" t="s">
        <v>993</v>
      </c>
      <c r="J321" s="4" t="s">
        <v>1175</v>
      </c>
      <c r="K321" s="4"/>
      <c r="L321" s="4" t="n">
        <v>2500</v>
      </c>
      <c r="M321" s="14" t="n">
        <v>0</v>
      </c>
    </row>
    <row r="322" customFormat="false" ht="14.25" hidden="false" customHeight="false" outlineLevel="0" collapsed="false">
      <c r="A322" s="11" t="s">
        <v>1326</v>
      </c>
      <c r="B322" s="2" t="s">
        <v>129</v>
      </c>
      <c r="C322" s="2" t="s">
        <v>130</v>
      </c>
      <c r="D322" s="2" t="s">
        <v>1327</v>
      </c>
      <c r="E322" s="2" t="s">
        <v>238</v>
      </c>
      <c r="F322" s="2" t="s">
        <v>33</v>
      </c>
      <c r="G322" s="2" t="s">
        <v>200</v>
      </c>
      <c r="H322" s="2" t="s">
        <v>219</v>
      </c>
      <c r="I322" s="2" t="s">
        <v>1328</v>
      </c>
      <c r="J322" s="2" t="s">
        <v>1000</v>
      </c>
      <c r="K322" s="2" t="s">
        <v>1000</v>
      </c>
      <c r="L322" s="2" t="n">
        <v>3000</v>
      </c>
      <c r="M322" s="12" t="n">
        <v>2478</v>
      </c>
    </row>
    <row r="323" customFormat="false" ht="14.25" hidden="false" customHeight="false" outlineLevel="0" collapsed="false">
      <c r="A323" s="13" t="s">
        <v>1329</v>
      </c>
      <c r="B323" s="4" t="s">
        <v>98</v>
      </c>
      <c r="C323" s="4" t="s">
        <v>99</v>
      </c>
      <c r="D323" s="4" t="s">
        <v>1330</v>
      </c>
      <c r="E323" s="4" t="s">
        <v>330</v>
      </c>
      <c r="F323" s="4" t="s">
        <v>1331</v>
      </c>
      <c r="G323" s="4" t="s">
        <v>200</v>
      </c>
      <c r="H323" s="4" t="s">
        <v>412</v>
      </c>
      <c r="I323" s="4" t="s">
        <v>1031</v>
      </c>
      <c r="J323" s="4" t="s">
        <v>1332</v>
      </c>
      <c r="K323" s="4" t="s">
        <v>492</v>
      </c>
      <c r="L323" s="4" t="n">
        <v>6000</v>
      </c>
      <c r="M323" s="14" t="n">
        <v>8019</v>
      </c>
    </row>
    <row r="324" customFormat="false" ht="14.25" hidden="false" customHeight="false" outlineLevel="0" collapsed="false">
      <c r="A324" s="11" t="s">
        <v>1333</v>
      </c>
      <c r="B324" s="2" t="s">
        <v>147</v>
      </c>
      <c r="C324" s="2" t="s">
        <v>148</v>
      </c>
      <c r="D324" s="2" t="s">
        <v>611</v>
      </c>
      <c r="E324" s="2" t="s">
        <v>411</v>
      </c>
      <c r="F324" s="2" t="s">
        <v>73</v>
      </c>
      <c r="G324" s="2" t="s">
        <v>434</v>
      </c>
      <c r="H324" s="2" t="s">
        <v>170</v>
      </c>
      <c r="I324" s="2" t="s">
        <v>1334</v>
      </c>
      <c r="J324" s="2" t="s">
        <v>1335</v>
      </c>
      <c r="K324" s="2"/>
      <c r="L324" s="2" t="n">
        <v>2500</v>
      </c>
      <c r="M324" s="12" t="n">
        <v>1721</v>
      </c>
    </row>
    <row r="325" customFormat="false" ht="14.25" hidden="false" customHeight="false" outlineLevel="0" collapsed="false">
      <c r="A325" s="13" t="s">
        <v>1336</v>
      </c>
      <c r="B325" s="4" t="s">
        <v>116</v>
      </c>
      <c r="C325" s="4" t="s">
        <v>117</v>
      </c>
      <c r="D325" s="4" t="s">
        <v>948</v>
      </c>
      <c r="E325" s="4" t="s">
        <v>34</v>
      </c>
      <c r="F325" s="4" t="s">
        <v>40</v>
      </c>
      <c r="G325" s="4" t="s">
        <v>175</v>
      </c>
      <c r="H325" s="4" t="s">
        <v>170</v>
      </c>
      <c r="I325" s="4" t="s">
        <v>1337</v>
      </c>
      <c r="J325" s="4" t="s">
        <v>1338</v>
      </c>
      <c r="K325" s="4"/>
      <c r="L325" s="4" t="n">
        <v>10000</v>
      </c>
      <c r="M325" s="14" t="n">
        <v>6223</v>
      </c>
    </row>
    <row r="326" customFormat="false" ht="14.25" hidden="false" customHeight="false" outlineLevel="0" collapsed="false">
      <c r="A326" s="11" t="s">
        <v>1339</v>
      </c>
      <c r="B326" s="2" t="s">
        <v>103</v>
      </c>
      <c r="C326" s="2" t="s">
        <v>104</v>
      </c>
      <c r="D326" s="2" t="s">
        <v>1340</v>
      </c>
      <c r="E326" s="2" t="s">
        <v>631</v>
      </c>
      <c r="F326" s="2" t="s">
        <v>71</v>
      </c>
      <c r="G326" s="2" t="s">
        <v>434</v>
      </c>
      <c r="H326" s="2" t="s">
        <v>244</v>
      </c>
      <c r="I326" s="2" t="s">
        <v>1341</v>
      </c>
      <c r="J326" s="2" t="s">
        <v>1342</v>
      </c>
      <c r="K326" s="2"/>
      <c r="L326" s="2" t="n">
        <v>5000</v>
      </c>
      <c r="M326" s="12" t="n">
        <v>1387</v>
      </c>
    </row>
    <row r="327" customFormat="false" ht="14.25" hidden="false" customHeight="false" outlineLevel="0" collapsed="false">
      <c r="A327" s="13" t="s">
        <v>1343</v>
      </c>
      <c r="B327" s="4" t="s">
        <v>88</v>
      </c>
      <c r="C327" s="4" t="s">
        <v>89</v>
      </c>
      <c r="D327" s="4" t="s">
        <v>1344</v>
      </c>
      <c r="E327" s="4" t="s">
        <v>631</v>
      </c>
      <c r="F327" s="4" t="s">
        <v>69</v>
      </c>
      <c r="G327" s="4" t="s">
        <v>169</v>
      </c>
      <c r="H327" s="4" t="s">
        <v>355</v>
      </c>
      <c r="I327" s="4" t="s">
        <v>1345</v>
      </c>
      <c r="J327" s="4" t="s">
        <v>1346</v>
      </c>
      <c r="K327" s="4"/>
      <c r="L327" s="4" t="n">
        <v>1500</v>
      </c>
      <c r="M327" s="14" t="n">
        <v>0</v>
      </c>
    </row>
    <row r="328" customFormat="false" ht="14.25" hidden="false" customHeight="false" outlineLevel="0" collapsed="false">
      <c r="A328" s="11" t="s">
        <v>1347</v>
      </c>
      <c r="B328" s="2" t="s">
        <v>120</v>
      </c>
      <c r="C328" s="2" t="s">
        <v>121</v>
      </c>
      <c r="D328" s="2" t="s">
        <v>199</v>
      </c>
      <c r="E328" s="2" t="s">
        <v>463</v>
      </c>
      <c r="F328" s="2" t="s">
        <v>47</v>
      </c>
      <c r="G328" s="2" t="s">
        <v>218</v>
      </c>
      <c r="H328" s="2" t="s">
        <v>249</v>
      </c>
      <c r="I328" s="2" t="s">
        <v>1160</v>
      </c>
      <c r="J328" s="2" t="s">
        <v>1141</v>
      </c>
      <c r="K328" s="2" t="s">
        <v>1348</v>
      </c>
      <c r="L328" s="2" t="n">
        <v>4000</v>
      </c>
      <c r="M328" s="12" t="n">
        <v>3786</v>
      </c>
    </row>
    <row r="329" customFormat="false" ht="14.25" hidden="false" customHeight="false" outlineLevel="0" collapsed="false">
      <c r="A329" s="13" t="s">
        <v>1349</v>
      </c>
      <c r="B329" s="4" t="s">
        <v>133</v>
      </c>
      <c r="C329" s="4" t="s">
        <v>134</v>
      </c>
      <c r="D329" s="4" t="s">
        <v>1350</v>
      </c>
      <c r="E329" s="4" t="s">
        <v>217</v>
      </c>
      <c r="F329" s="4" t="s">
        <v>75</v>
      </c>
      <c r="G329" s="4" t="s">
        <v>169</v>
      </c>
      <c r="H329" s="4" t="s">
        <v>249</v>
      </c>
      <c r="I329" s="4" t="s">
        <v>1351</v>
      </c>
      <c r="J329" s="4" t="s">
        <v>600</v>
      </c>
      <c r="K329" s="4" t="s">
        <v>939</v>
      </c>
      <c r="L329" s="4" t="n">
        <v>8000</v>
      </c>
      <c r="M329" s="14" t="n">
        <v>7859</v>
      </c>
    </row>
    <row r="330" customFormat="false" ht="14.25" hidden="false" customHeight="false" outlineLevel="0" collapsed="false">
      <c r="A330" s="11" t="s">
        <v>1233</v>
      </c>
      <c r="B330" s="2" t="s">
        <v>116</v>
      </c>
      <c r="C330" s="2" t="s">
        <v>117</v>
      </c>
      <c r="D330" s="2" t="s">
        <v>1234</v>
      </c>
      <c r="E330" s="2" t="s">
        <v>254</v>
      </c>
      <c r="F330" s="2" t="s">
        <v>29</v>
      </c>
      <c r="G330" s="2" t="s">
        <v>182</v>
      </c>
      <c r="H330" s="2" t="s">
        <v>163</v>
      </c>
      <c r="I330" s="2" t="s">
        <v>361</v>
      </c>
      <c r="J330" s="2" t="s">
        <v>907</v>
      </c>
      <c r="K330" s="2" t="s">
        <v>312</v>
      </c>
      <c r="L330" s="2" t="n">
        <v>2500</v>
      </c>
      <c r="M330" s="12" t="n">
        <v>2532</v>
      </c>
    </row>
    <row r="331" customFormat="false" ht="14.25" hidden="false" customHeight="false" outlineLevel="0" collapsed="false">
      <c r="A331" s="15" t="s">
        <v>1352</v>
      </c>
      <c r="B331" s="16" t="s">
        <v>112</v>
      </c>
      <c r="C331" s="16" t="s">
        <v>113</v>
      </c>
      <c r="D331" s="16" t="s">
        <v>537</v>
      </c>
      <c r="E331" s="16" t="s">
        <v>458</v>
      </c>
      <c r="F331" s="16" t="s">
        <v>73</v>
      </c>
      <c r="G331" s="16" t="s">
        <v>226</v>
      </c>
      <c r="H331" s="16" t="s">
        <v>249</v>
      </c>
      <c r="I331" s="16" t="s">
        <v>1353</v>
      </c>
      <c r="J331" s="16" t="s">
        <v>1354</v>
      </c>
      <c r="K331" s="16" t="s">
        <v>186</v>
      </c>
      <c r="L331" s="16" t="n">
        <v>4000</v>
      </c>
      <c r="M331" s="17" t="n">
        <v>4692</v>
      </c>
    </row>
    <row r="333" customFormat="false" ht="14.25" hidden="false" customHeight="false" outlineLevel="0" collapsed="false">
      <c r="A333" s="18" t="s">
        <v>1355</v>
      </c>
      <c r="B333" s="18"/>
      <c r="C333" s="18"/>
      <c r="D333" s="18"/>
      <c r="E333" s="18"/>
      <c r="F333" s="18"/>
      <c r="G333" s="18"/>
      <c r="H333" s="18"/>
    </row>
  </sheetData>
  <mergeCells count="1">
    <mergeCell ref="A333:H3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21"/>
  <sheetViews>
    <sheetView showFormulas="false" showGridLines="true" showRowColHeaders="true" showZeros="true" rightToLeft="false" tabSelected="false" showOutlineSymbols="true" defaultGridColor="true" view="normal" topLeftCell="Y1" colorId="64" zoomScale="96" zoomScaleNormal="96" zoomScalePageLayoutView="100" workbookViewId="0">
      <selection pane="topLeft" activeCell="AG3" activeCellId="0" sqref="AG3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1.11"/>
    <col collapsed="false" customWidth="true" hidden="false" outlineLevel="0" max="2" min="2" style="0" width="12.88"/>
    <col collapsed="false" customWidth="true" hidden="false" outlineLevel="0" max="3" min="3" style="0" width="26.33"/>
    <col collapsed="false" customWidth="true" hidden="false" outlineLevel="0" max="4" min="4" style="0" width="38.88"/>
    <col collapsed="false" customWidth="true" hidden="false" outlineLevel="0" max="5" min="5" style="0" width="17.67"/>
    <col collapsed="false" customWidth="true" hidden="false" outlineLevel="0" max="6" min="6" style="0" width="19.21"/>
    <col collapsed="false" customWidth="true" hidden="false" outlineLevel="0" max="7" min="7" style="0" width="10.44"/>
    <col collapsed="false" customWidth="true" hidden="false" outlineLevel="0" max="8" min="8" style="0" width="11.22"/>
    <col collapsed="false" customWidth="true" hidden="false" outlineLevel="0" max="9" min="9" style="0" width="13.34"/>
    <col collapsed="false" customWidth="true" hidden="false" outlineLevel="0" max="10" min="10" style="0" width="20"/>
    <col collapsed="false" customWidth="true" hidden="false" outlineLevel="0" max="11" min="11" style="0" width="18.67"/>
    <col collapsed="false" customWidth="true" hidden="false" outlineLevel="0" max="12" min="12" style="0" width="15.33"/>
    <col collapsed="false" customWidth="true" hidden="false" outlineLevel="0" max="13" min="13" style="0" width="14"/>
    <col collapsed="false" customWidth="true" hidden="false" outlineLevel="0" max="14" min="14" style="0" width="24.44"/>
    <col collapsed="false" customWidth="true" hidden="false" outlineLevel="0" max="15" min="15" style="0" width="14.33"/>
    <col collapsed="false" customWidth="true" hidden="false" outlineLevel="0" max="16" min="16" style="0" width="23"/>
    <col collapsed="false" customWidth="true" hidden="false" outlineLevel="0" max="17" min="17" style="0" width="18.56"/>
    <col collapsed="false" customWidth="true" hidden="false" outlineLevel="0" max="18" min="18" style="0" width="14.88"/>
    <col collapsed="false" customWidth="true" hidden="false" outlineLevel="0" max="19" min="19" style="0" width="10.21"/>
    <col collapsed="false" customWidth="true" hidden="false" outlineLevel="0" max="20" min="20" style="0" width="15.33"/>
    <col collapsed="false" customWidth="true" hidden="false" outlineLevel="0" max="21" min="21" style="0" width="22.77"/>
    <col collapsed="false" customWidth="true" hidden="false" outlineLevel="0" max="22" min="22" style="0" width="14.67"/>
    <col collapsed="false" customWidth="true" hidden="false" outlineLevel="0" max="23" min="23" style="0" width="16"/>
    <col collapsed="false" customWidth="true" hidden="false" outlineLevel="0" max="24" min="24" style="0" width="19.67"/>
    <col collapsed="false" customWidth="true" hidden="false" outlineLevel="0" max="25" min="25" style="0" width="16.56"/>
    <col collapsed="false" customWidth="true" hidden="false" outlineLevel="0" max="26" min="26" style="0" width="21"/>
    <col collapsed="false" customWidth="true" hidden="false" outlineLevel="0" max="27" min="27" style="0" width="18.67"/>
    <col collapsed="false" customWidth="true" hidden="false" outlineLevel="0" max="28" min="28" style="0" width="17.88"/>
    <col collapsed="false" customWidth="true" hidden="false" outlineLevel="0" max="31" min="31" style="0" width="17.22"/>
    <col collapsed="false" customWidth="true" hidden="false" outlineLevel="0" max="32" min="32" style="0" width="20.22"/>
    <col collapsed="false" customWidth="true" hidden="false" outlineLevel="0" max="33" min="33" style="0" width="18.11"/>
    <col collapsed="false" customWidth="true" hidden="false" outlineLevel="0" max="43" min="43" style="0" width="17.22"/>
  </cols>
  <sheetData>
    <row r="1" customFormat="false" ht="14.25" hidden="false" customHeight="false" outlineLevel="0" collapsed="false">
      <c r="A1" s="19" t="s">
        <v>150</v>
      </c>
      <c r="B1" s="19" t="s">
        <v>82</v>
      </c>
      <c r="C1" s="19" t="s">
        <v>83</v>
      </c>
      <c r="D1" s="19" t="s">
        <v>151</v>
      </c>
      <c r="E1" s="19" t="s">
        <v>2</v>
      </c>
      <c r="F1" s="19" t="s">
        <v>152</v>
      </c>
      <c r="G1" s="19" t="s">
        <v>153</v>
      </c>
      <c r="H1" s="19" t="s">
        <v>154</v>
      </c>
      <c r="I1" s="19" t="s">
        <v>86</v>
      </c>
      <c r="J1" s="19" t="s">
        <v>155</v>
      </c>
      <c r="K1" s="19" t="s">
        <v>156</v>
      </c>
      <c r="L1" s="19" t="s">
        <v>157</v>
      </c>
      <c r="M1" s="19" t="s">
        <v>158</v>
      </c>
      <c r="N1" s="19" t="s">
        <v>1356</v>
      </c>
      <c r="O1" s="19" t="s">
        <v>1357</v>
      </c>
      <c r="P1" s="19" t="s">
        <v>84</v>
      </c>
      <c r="Q1" s="19" t="s">
        <v>85</v>
      </c>
      <c r="R1" s="19" t="s">
        <v>1358</v>
      </c>
      <c r="S1" s="19" t="s">
        <v>87</v>
      </c>
      <c r="T1" s="19" t="s">
        <v>0</v>
      </c>
      <c r="U1" s="19" t="s">
        <v>3</v>
      </c>
      <c r="V1" s="19" t="s">
        <v>4</v>
      </c>
      <c r="W1" s="19" t="s">
        <v>1359</v>
      </c>
      <c r="X1" s="20" t="s">
        <v>1360</v>
      </c>
      <c r="Y1" s="19" t="s">
        <v>1361</v>
      </c>
      <c r="Z1" s="19" t="s">
        <v>1362</v>
      </c>
      <c r="AA1" s="19" t="s">
        <v>1363</v>
      </c>
      <c r="AB1" s="21" t="s">
        <v>1364</v>
      </c>
    </row>
    <row r="2" customFormat="false" ht="14.25" hidden="false" customHeight="false" outlineLevel="0" collapsed="false">
      <c r="A2" s="22" t="s">
        <v>159</v>
      </c>
      <c r="B2" s="22" t="s">
        <v>103</v>
      </c>
      <c r="C2" s="22" t="s">
        <v>104</v>
      </c>
      <c r="D2" s="22" t="s">
        <v>160</v>
      </c>
      <c r="E2" s="22" t="s">
        <v>34</v>
      </c>
      <c r="F2" s="22" t="s">
        <v>57</v>
      </c>
      <c r="G2" s="22" t="s">
        <v>206</v>
      </c>
      <c r="H2" s="22" t="s">
        <v>194</v>
      </c>
      <c r="I2" s="23" t="n">
        <v>45478</v>
      </c>
      <c r="J2" s="23" t="n">
        <v>45506</v>
      </c>
      <c r="K2" s="23" t="n">
        <v>45513</v>
      </c>
      <c r="L2" s="0" t="n">
        <v>1500</v>
      </c>
      <c r="M2" s="0" t="n">
        <v>1396</v>
      </c>
      <c r="N2" s="0" t="n">
        <v>28</v>
      </c>
      <c r="O2" s="0" t="n">
        <v>7</v>
      </c>
      <c r="P2" s="22" t="s">
        <v>105</v>
      </c>
      <c r="Q2" s="22" t="s">
        <v>106</v>
      </c>
      <c r="R2" s="23" t="n">
        <v>45465</v>
      </c>
      <c r="S2" s="0" t="n">
        <v>75000</v>
      </c>
      <c r="T2" s="22" t="s">
        <v>56</v>
      </c>
      <c r="U2" s="22" t="s">
        <v>58</v>
      </c>
      <c r="V2" s="0" t="n">
        <v>150</v>
      </c>
      <c r="W2" s="0" t="n">
        <f aca="false">tbl_Tasks_Clean[[#This Row],[Actual_Cost]]-tbl_Tasks_Clean[[#This Row],[Planned_Cost]]</f>
        <v>-104</v>
      </c>
      <c r="X2" s="22" t="n">
        <f aca="false">IFERROR(tbl_Tasks_Clean[[#This Row],[Actual_Cost]]/tbl_Tasks_Clean[[#This Row],[Planned_Cost]],0)</f>
        <v>0.930666666666667</v>
      </c>
      <c r="Y2" s="22" t="str">
        <f aca="false">IF(AND(tbl_Tasks_Clean[[#This Row],[Status]]="Completed",tbl_Tasks_Clean[[#This Row],[Delay_Days]]&lt;=0),"On Time","Late")</f>
        <v>Late</v>
      </c>
      <c r="Z2" s="0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" s="22" t="str">
        <f aca="false">INDEX(tbl_Projects[Project_Manager],MATCH(tbl_Tasks_Clean[[#This Row],[Project_ID]],tbl_Projects[Project_ID],0))</f>
        <v>Laila Samir</v>
      </c>
      <c r="AB2" s="21" t="str">
        <f aca="false">IF(tbl_Tasks_Clean[[#This Row],[Delay_Days]]&gt;0,"Delayed by "&amp;TEXT(DATEDIF(tbl_Tasks_Clean[[#This Row],[Planned_End_Date]],tbl_Tasks_Clean[[#This Row],[Actual_End_Date]],"d"),"0")&amp;" days","No delay")</f>
        <v>Delayed by 7 days</v>
      </c>
    </row>
    <row r="3" customFormat="false" ht="14.25" hidden="false" customHeight="false" outlineLevel="0" collapsed="false">
      <c r="A3" s="22" t="s">
        <v>210</v>
      </c>
      <c r="B3" s="22" t="s">
        <v>88</v>
      </c>
      <c r="C3" s="22" t="s">
        <v>89</v>
      </c>
      <c r="D3" s="22" t="s">
        <v>211</v>
      </c>
      <c r="E3" s="22" t="s">
        <v>21</v>
      </c>
      <c r="F3" s="22" t="s">
        <v>57</v>
      </c>
      <c r="G3" s="22" t="s">
        <v>206</v>
      </c>
      <c r="H3" s="22" t="s">
        <v>212</v>
      </c>
      <c r="I3" s="23" t="n">
        <v>45518</v>
      </c>
      <c r="J3" s="23" t="n">
        <v>45542</v>
      </c>
      <c r="K3" s="23"/>
      <c r="L3" s="0" t="n">
        <v>1500</v>
      </c>
      <c r="M3" s="0" t="n">
        <v>618</v>
      </c>
      <c r="N3" s="0" t="n">
        <v>24</v>
      </c>
      <c r="O3" s="0" t="n">
        <v>0</v>
      </c>
      <c r="P3" s="22" t="s">
        <v>90</v>
      </c>
      <c r="Q3" s="22" t="s">
        <v>91</v>
      </c>
      <c r="R3" s="23" t="n">
        <v>45455</v>
      </c>
      <c r="S3" s="0" t="n">
        <v>75000</v>
      </c>
      <c r="T3" s="22" t="s">
        <v>56</v>
      </c>
      <c r="U3" s="22" t="s">
        <v>58</v>
      </c>
      <c r="V3" s="0" t="n">
        <v>150</v>
      </c>
      <c r="W3" s="0" t="n">
        <f aca="false">tbl_Tasks_Clean[[#This Row],[Actual_Cost]]-tbl_Tasks_Clean[[#This Row],[Planned_Cost]]</f>
        <v>-882</v>
      </c>
      <c r="X3" s="22" t="n">
        <f aca="false">IFERROR(tbl_Tasks_Clean[[#This Row],[Actual_Cost]]/tbl_Tasks_Clean[[#This Row],[Planned_Cost]],0)</f>
        <v>0.412</v>
      </c>
      <c r="Y3" s="22" t="str">
        <f aca="false">IF(AND(tbl_Tasks_Clean[[#This Row],[Status]]="Completed",tbl_Tasks_Clean[[#This Row],[Delay_Days]]&lt;=0),"On Time","Late")</f>
        <v>Late</v>
      </c>
      <c r="Z3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3" s="0" t="str">
        <f aca="false">INDEX(tbl_Projects[Project_Manager],MATCH(tbl_Tasks_Clean[[#This Row],[Project_ID]],tbl_Projects[Project_ID],0))</f>
        <v>Mona Farid</v>
      </c>
      <c r="AB3" s="21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  <c r="AE3" s="24" t="s">
        <v>2</v>
      </c>
      <c r="AF3" s="24" t="s">
        <v>1365</v>
      </c>
      <c r="AG3" s="24" t="s">
        <v>1366</v>
      </c>
    </row>
    <row r="4" customFormat="false" ht="14.25" hidden="false" customHeight="false" outlineLevel="0" collapsed="false">
      <c r="A4" s="22" t="s">
        <v>247</v>
      </c>
      <c r="B4" s="22" t="s">
        <v>98</v>
      </c>
      <c r="C4" s="22" t="s">
        <v>99</v>
      </c>
      <c r="D4" s="22" t="s">
        <v>1367</v>
      </c>
      <c r="E4" s="22" t="s">
        <v>7</v>
      </c>
      <c r="F4" s="22" t="s">
        <v>57</v>
      </c>
      <c r="G4" s="22" t="s">
        <v>206</v>
      </c>
      <c r="H4" s="22" t="s">
        <v>239</v>
      </c>
      <c r="I4" s="23" t="n">
        <v>45450</v>
      </c>
      <c r="J4" s="23" t="n">
        <v>45473</v>
      </c>
      <c r="K4" s="23" t="n">
        <v>45470</v>
      </c>
      <c r="L4" s="0" t="n">
        <v>4000</v>
      </c>
      <c r="M4" s="0" t="n">
        <v>5187</v>
      </c>
      <c r="N4" s="0" t="n">
        <v>23</v>
      </c>
      <c r="O4" s="0" t="n">
        <v>-3</v>
      </c>
      <c r="P4" s="22" t="s">
        <v>100</v>
      </c>
      <c r="Q4" s="22" t="s">
        <v>101</v>
      </c>
      <c r="R4" s="23" t="n">
        <v>45349</v>
      </c>
      <c r="S4" s="0" t="n">
        <v>100000</v>
      </c>
      <c r="T4" s="22" t="s">
        <v>56</v>
      </c>
      <c r="U4" s="22" t="s">
        <v>58</v>
      </c>
      <c r="V4" s="0" t="n">
        <v>150</v>
      </c>
      <c r="W4" s="0" t="n">
        <f aca="false">tbl_Tasks_Clean[[#This Row],[Actual_Cost]]-tbl_Tasks_Clean[[#This Row],[Planned_Cost]]</f>
        <v>1187</v>
      </c>
      <c r="X4" s="22" t="n">
        <f aca="false">IFERROR(tbl_Tasks_Clean[[#This Row],[Actual_Cost]]/tbl_Tasks_Clean[[#This Row],[Planned_Cost]],0)</f>
        <v>1.29675</v>
      </c>
      <c r="Y4" s="22" t="str">
        <f aca="false">IF(AND(tbl_Tasks_Clean[[#This Row],[Status]]="Completed",tbl_Tasks_Clean[[#This Row],[Delay_Days]]&lt;=0),"On Time","Late")</f>
        <v>On Time</v>
      </c>
      <c r="Z4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4" s="22" t="str">
        <f aca="false">INDEX(tbl_Projects[Project_Manager],MATCH(tbl_Tasks_Clean[[#This Row],[Project_ID]],tbl_Projects[Project_ID],0))</f>
        <v>Ahmed Nabil</v>
      </c>
      <c r="AB4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  <c r="AE4" s="25" t="s">
        <v>7</v>
      </c>
      <c r="AF4" s="26" t="n">
        <f aca="false">COUNTIFS(tbl_Tasks_Clean[Department],AE4,tbl_Tasks_Clean[Status],"Delayed")</f>
        <v>9</v>
      </c>
      <c r="AG4" s="26" t="n">
        <f aca="false">SUMIFS(tbl_Tasks_Clean[Actual_Cost],tbl_Tasks_Clean[Department],AE4,tbl_Tasks_Clean[Status],"Completed")</f>
        <v>83780</v>
      </c>
    </row>
    <row r="5" customFormat="false" ht="14.25" hidden="false" customHeight="false" outlineLevel="0" collapsed="false">
      <c r="A5" s="22" t="s">
        <v>313</v>
      </c>
      <c r="B5" s="22" t="s">
        <v>103</v>
      </c>
      <c r="C5" s="22" t="s">
        <v>104</v>
      </c>
      <c r="D5" s="22" t="s">
        <v>314</v>
      </c>
      <c r="E5" s="22" t="s">
        <v>44</v>
      </c>
      <c r="F5" s="22" t="s">
        <v>10</v>
      </c>
      <c r="G5" s="22" t="s">
        <v>275</v>
      </c>
      <c r="H5" s="22" t="s">
        <v>239</v>
      </c>
      <c r="I5" s="23" t="n">
        <v>45594</v>
      </c>
      <c r="J5" s="23" t="n">
        <v>45599</v>
      </c>
      <c r="K5" s="23" t="n">
        <v>45598</v>
      </c>
      <c r="M5" s="0" t="n">
        <v>6098</v>
      </c>
      <c r="N5" s="0" t="n">
        <v>5</v>
      </c>
      <c r="O5" s="0" t="n">
        <v>-1</v>
      </c>
      <c r="P5" s="22" t="s">
        <v>105</v>
      </c>
      <c r="Q5" s="22" t="s">
        <v>106</v>
      </c>
      <c r="R5" s="23" t="n">
        <v>45465</v>
      </c>
      <c r="S5" s="0" t="n">
        <v>75000</v>
      </c>
      <c r="T5" s="22" t="s">
        <v>9</v>
      </c>
      <c r="U5" s="22" t="s">
        <v>8</v>
      </c>
      <c r="V5" s="0" t="n">
        <v>220</v>
      </c>
      <c r="W5" s="0" t="n">
        <f aca="false">tbl_Tasks_Clean[[#This Row],[Actual_Cost]]-tbl_Tasks_Clean[[#This Row],[Planned_Cost]]</f>
        <v>6098</v>
      </c>
      <c r="X5" s="22" t="n">
        <f aca="false">IFERROR(tbl_Tasks_Clean[[#This Row],[Actual_Cost]]/tbl_Tasks_Clean[[#This Row],[Planned_Cost]],0)</f>
        <v>0</v>
      </c>
      <c r="Y5" s="22" t="str">
        <f aca="false">IF(AND(tbl_Tasks_Clean[[#This Row],[Status]]="Completed",tbl_Tasks_Clean[[#This Row],[Delay_Days]]&lt;=0),"On Time","Late")</f>
        <v>On Time</v>
      </c>
      <c r="Z5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5" s="22" t="str">
        <f aca="false">INDEX(tbl_Projects[Project_Manager],MATCH(tbl_Tasks_Clean[[#This Row],[Project_ID]],tbl_Projects[Project_ID],0))</f>
        <v>Laila Samir</v>
      </c>
      <c r="AB5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  <c r="AE5" s="25" t="s">
        <v>21</v>
      </c>
      <c r="AF5" s="26" t="n">
        <f aca="false">COUNTIFS(tbl_Tasks_Clean[Department],AE5,tbl_Tasks_Clean[Status],"Delayed")</f>
        <v>4</v>
      </c>
      <c r="AG5" s="26" t="n">
        <f aca="false">SUMIFS(tbl_Tasks_Clean[Actual_Cost],tbl_Tasks_Clean[Department],AE5,tbl_Tasks_Clean[Status],"Completed")</f>
        <v>103532</v>
      </c>
    </row>
    <row r="6" customFormat="false" ht="14.25" hidden="false" customHeight="false" outlineLevel="0" collapsed="false">
      <c r="A6" s="22" t="s">
        <v>167</v>
      </c>
      <c r="B6" s="22" t="s">
        <v>143</v>
      </c>
      <c r="C6" s="22" t="s">
        <v>144</v>
      </c>
      <c r="D6" s="22" t="s">
        <v>168</v>
      </c>
      <c r="E6" s="22" t="s">
        <v>21</v>
      </c>
      <c r="F6" s="22" t="s">
        <v>47</v>
      </c>
      <c r="G6" s="22" t="s">
        <v>275</v>
      </c>
      <c r="H6" s="22" t="s">
        <v>212</v>
      </c>
      <c r="I6" s="23" t="n">
        <v>45435</v>
      </c>
      <c r="J6" s="23" t="n">
        <v>45463</v>
      </c>
      <c r="K6" s="23"/>
      <c r="L6" s="0" t="n">
        <v>4000</v>
      </c>
      <c r="M6" s="0" t="n">
        <v>1731</v>
      </c>
      <c r="N6" s="0" t="n">
        <v>28</v>
      </c>
      <c r="O6" s="0" t="n">
        <v>0</v>
      </c>
      <c r="P6" s="22" t="s">
        <v>145</v>
      </c>
      <c r="Q6" s="22" t="s">
        <v>101</v>
      </c>
      <c r="R6" s="23" t="n">
        <v>45303</v>
      </c>
      <c r="S6" s="0" t="n">
        <v>300000</v>
      </c>
      <c r="T6" s="22" t="s">
        <v>46</v>
      </c>
      <c r="U6" s="22" t="s">
        <v>48</v>
      </c>
      <c r="V6" s="0" t="n">
        <v>280</v>
      </c>
      <c r="W6" s="0" t="n">
        <f aca="false">tbl_Tasks_Clean[[#This Row],[Actual_Cost]]-tbl_Tasks_Clean[[#This Row],[Planned_Cost]]</f>
        <v>-2269</v>
      </c>
      <c r="X6" s="22" t="n">
        <f aca="false">IFERROR(tbl_Tasks_Clean[[#This Row],[Actual_Cost]]/tbl_Tasks_Clean[[#This Row],[Planned_Cost]],0)</f>
        <v>0.43275</v>
      </c>
      <c r="Y6" s="22" t="str">
        <f aca="false">IF(AND(tbl_Tasks_Clean[[#This Row],[Status]]="Completed",tbl_Tasks_Clean[[#This Row],[Delay_Days]]&lt;=0),"On Time","Late")</f>
        <v>Late</v>
      </c>
      <c r="Z6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6" s="22" t="str">
        <f aca="false">INDEX(tbl_Projects[Project_Manager],MATCH(tbl_Tasks_Clean[[#This Row],[Project_ID]],tbl_Projects[Project_ID],0))</f>
        <v>Ahmed Nabil</v>
      </c>
      <c r="AB6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  <c r="AE6" s="25" t="s">
        <v>34</v>
      </c>
      <c r="AF6" s="26" t="n">
        <f aca="false">COUNTIFS(tbl_Tasks_Clean[Department],AE6,tbl_Tasks_Clean[Status],"Delayed")</f>
        <v>7</v>
      </c>
      <c r="AG6" s="26" t="n">
        <f aca="false">SUMIFS(tbl_Tasks_Clean[Actual_Cost],tbl_Tasks_Clean[Department],AE6,tbl_Tasks_Clean[Status],"Completed")</f>
        <v>62996</v>
      </c>
    </row>
    <row r="7" customFormat="false" ht="14.25" hidden="false" customHeight="false" outlineLevel="0" collapsed="false">
      <c r="A7" s="22" t="s">
        <v>287</v>
      </c>
      <c r="B7" s="22" t="s">
        <v>108</v>
      </c>
      <c r="C7" s="22" t="s">
        <v>109</v>
      </c>
      <c r="D7" s="22" t="s">
        <v>288</v>
      </c>
      <c r="E7" s="22" t="s">
        <v>34</v>
      </c>
      <c r="F7" s="22" t="s">
        <v>47</v>
      </c>
      <c r="G7" s="22" t="s">
        <v>175</v>
      </c>
      <c r="H7" s="22" t="s">
        <v>239</v>
      </c>
      <c r="I7" s="23" t="n">
        <v>45425</v>
      </c>
      <c r="J7" s="23" t="n">
        <v>45434</v>
      </c>
      <c r="K7" s="23" t="n">
        <v>45431</v>
      </c>
      <c r="L7" s="0" t="n">
        <v>2000</v>
      </c>
      <c r="M7" s="0" t="n">
        <v>2594</v>
      </c>
      <c r="N7" s="0" t="n">
        <v>9</v>
      </c>
      <c r="O7" s="0" t="n">
        <v>-3</v>
      </c>
      <c r="P7" s="22" t="s">
        <v>110</v>
      </c>
      <c r="Q7" s="22" t="s">
        <v>101</v>
      </c>
      <c r="R7" s="23" t="n">
        <v>45300</v>
      </c>
      <c r="S7" s="0" t="n">
        <v>50000</v>
      </c>
      <c r="T7" s="22" t="s">
        <v>46</v>
      </c>
      <c r="U7" s="22" t="s">
        <v>48</v>
      </c>
      <c r="V7" s="0" t="n">
        <v>280</v>
      </c>
      <c r="W7" s="0" t="n">
        <f aca="false">tbl_Tasks_Clean[[#This Row],[Actual_Cost]]-tbl_Tasks_Clean[[#This Row],[Planned_Cost]]</f>
        <v>594</v>
      </c>
      <c r="X7" s="22" t="n">
        <f aca="false">IFERROR(tbl_Tasks_Clean[[#This Row],[Actual_Cost]]/tbl_Tasks_Clean[[#This Row],[Planned_Cost]],0)</f>
        <v>1.297</v>
      </c>
      <c r="Y7" s="22" t="str">
        <f aca="false">IF(AND(tbl_Tasks_Clean[[#This Row],[Status]]="Completed",tbl_Tasks_Clean[[#This Row],[Delay_Days]]&lt;=0),"On Time","Late")</f>
        <v>On Time</v>
      </c>
      <c r="Z7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7" s="22" t="str">
        <f aca="false">INDEX(tbl_Projects[Project_Manager],MATCH(tbl_Tasks_Clean[[#This Row],[Project_ID]],tbl_Projects[Project_ID],0))</f>
        <v>Ahmed Nabil</v>
      </c>
      <c r="AB7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  <c r="AE7" s="25" t="s">
        <v>44</v>
      </c>
      <c r="AF7" s="26" t="n">
        <f aca="false">COUNTIFS(tbl_Tasks_Clean[Department],AE7,tbl_Tasks_Clean[Status],"Delayed")</f>
        <v>8</v>
      </c>
      <c r="AG7" s="26" t="n">
        <f aca="false">SUMIFS(tbl_Tasks_Clean[Actual_Cost],tbl_Tasks_Clean[Department],AE7,tbl_Tasks_Clean[Status],"Completed")</f>
        <v>87274</v>
      </c>
    </row>
    <row r="8" customFormat="false" ht="14.25" hidden="false" customHeight="false" outlineLevel="0" collapsed="false">
      <c r="A8" s="22" t="s">
        <v>294</v>
      </c>
      <c r="B8" s="22" t="s">
        <v>129</v>
      </c>
      <c r="C8" s="22" t="s">
        <v>130</v>
      </c>
      <c r="D8" s="22" t="s">
        <v>295</v>
      </c>
      <c r="E8" s="22" t="s">
        <v>7</v>
      </c>
      <c r="F8" s="22" t="s">
        <v>47</v>
      </c>
      <c r="G8" s="22" t="s">
        <v>206</v>
      </c>
      <c r="H8" s="22" t="s">
        <v>201</v>
      </c>
      <c r="I8" s="23" t="n">
        <v>45462</v>
      </c>
      <c r="J8" s="23" t="n">
        <v>45467</v>
      </c>
      <c r="K8" s="23"/>
      <c r="L8" s="0" t="n">
        <v>8000</v>
      </c>
      <c r="M8" s="0" t="n">
        <v>0</v>
      </c>
      <c r="N8" s="0" t="n">
        <v>5</v>
      </c>
      <c r="O8" s="0" t="n">
        <v>0</v>
      </c>
      <c r="P8" s="22" t="s">
        <v>118</v>
      </c>
      <c r="Q8" s="22" t="s">
        <v>131</v>
      </c>
      <c r="R8" s="23" t="n">
        <v>45379</v>
      </c>
      <c r="S8" s="0" t="n">
        <v>150000</v>
      </c>
      <c r="T8" s="22" t="s">
        <v>46</v>
      </c>
      <c r="U8" s="22" t="s">
        <v>48</v>
      </c>
      <c r="V8" s="0" t="n">
        <v>280</v>
      </c>
      <c r="W8" s="0" t="n">
        <f aca="false">tbl_Tasks_Clean[[#This Row],[Actual_Cost]]-tbl_Tasks_Clean[[#This Row],[Planned_Cost]]</f>
        <v>-8000</v>
      </c>
      <c r="X8" s="22" t="n">
        <f aca="false">IFERROR(tbl_Tasks_Clean[[#This Row],[Actual_Cost]]/tbl_Tasks_Clean[[#This Row],[Planned_Cost]],0)</f>
        <v>0</v>
      </c>
      <c r="Y8" s="22" t="str">
        <f aca="false">IF(AND(tbl_Tasks_Clean[[#This Row],[Status]]="Completed",tbl_Tasks_Clean[[#This Row],[Delay_Days]]&lt;=0),"On Time","Late")</f>
        <v>Late</v>
      </c>
      <c r="Z8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8" s="22" t="str">
        <f aca="false">INDEX(tbl_Projects[Project_Manager],MATCH(tbl_Tasks_Clean[[#This Row],[Project_ID]],tbl_Projects[Project_ID],0))</f>
        <v>Sara Hassan</v>
      </c>
      <c r="AB8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  <c r="AE8" s="25" t="s">
        <v>54</v>
      </c>
      <c r="AF8" s="26" t="n">
        <f aca="false">COUNTIFS(tbl_Tasks_Clean[Department],AE8,tbl_Tasks_Clean[Status],"Delayed")</f>
        <v>6</v>
      </c>
      <c r="AG8" s="26" t="n">
        <f aca="false">SUMIFS(tbl_Tasks_Clean[Actual_Cost],tbl_Tasks_Clean[Department],AE8,tbl_Tasks_Clean[Status],"Completed")</f>
        <v>72750</v>
      </c>
    </row>
    <row r="9" customFormat="false" ht="14.25" hidden="false" customHeight="false" outlineLevel="0" collapsed="false">
      <c r="A9" s="22" t="s">
        <v>298</v>
      </c>
      <c r="B9" s="22" t="s">
        <v>136</v>
      </c>
      <c r="C9" s="22" t="s">
        <v>137</v>
      </c>
      <c r="D9" s="22" t="s">
        <v>1368</v>
      </c>
      <c r="E9" s="22" t="s">
        <v>44</v>
      </c>
      <c r="F9" s="22" t="s">
        <v>47</v>
      </c>
      <c r="G9" s="22" t="s">
        <v>175</v>
      </c>
      <c r="H9" s="22" t="s">
        <v>239</v>
      </c>
      <c r="I9" s="23" t="n">
        <v>45348</v>
      </c>
      <c r="J9" s="23" t="n">
        <v>45366</v>
      </c>
      <c r="K9" s="23" t="n">
        <v>45366</v>
      </c>
      <c r="L9" s="0" t="n">
        <v>1500</v>
      </c>
      <c r="M9" s="0" t="n">
        <v>1982</v>
      </c>
      <c r="N9" s="0" t="n">
        <v>18</v>
      </c>
      <c r="O9" s="0" t="n">
        <v>0</v>
      </c>
      <c r="P9" s="22" t="s">
        <v>138</v>
      </c>
      <c r="Q9" s="22" t="s">
        <v>101</v>
      </c>
      <c r="R9" s="23" t="n">
        <v>45315</v>
      </c>
      <c r="S9" s="0" t="n">
        <v>250000</v>
      </c>
      <c r="T9" s="22" t="s">
        <v>46</v>
      </c>
      <c r="U9" s="22" t="s">
        <v>48</v>
      </c>
      <c r="V9" s="0" t="n">
        <v>280</v>
      </c>
      <c r="W9" s="0" t="n">
        <f aca="false">tbl_Tasks_Clean[[#This Row],[Actual_Cost]]-tbl_Tasks_Clean[[#This Row],[Planned_Cost]]</f>
        <v>482</v>
      </c>
      <c r="X9" s="22" t="n">
        <f aca="false">IFERROR(tbl_Tasks_Clean[[#This Row],[Actual_Cost]]/tbl_Tasks_Clean[[#This Row],[Planned_Cost]],0)</f>
        <v>1.32133333333333</v>
      </c>
      <c r="Y9" s="22" t="str">
        <f aca="false">IF(AND(tbl_Tasks_Clean[[#This Row],[Status]]="Completed",tbl_Tasks_Clean[[#This Row],[Delay_Days]]&lt;=0),"On Time","Late")</f>
        <v>On Time</v>
      </c>
      <c r="Z9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9" s="22" t="str">
        <f aca="false">INDEX(tbl_Projects[Project_Manager],MATCH(tbl_Tasks_Clean[[#This Row],[Project_ID]],tbl_Projects[Project_ID],0))</f>
        <v>Ahmed Nabil</v>
      </c>
      <c r="AB9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  <c r="AE9" s="27" t="s">
        <v>63</v>
      </c>
      <c r="AF9" s="26" t="n">
        <f aca="false">COUNTIFS(tbl_Tasks_Clean[Department],AE9,tbl_Tasks_Clean[Status],"Delayed")</f>
        <v>6</v>
      </c>
      <c r="AG9" s="26" t="n">
        <f aca="false">SUMIFS(tbl_Tasks_Clean[Actual_Cost],tbl_Tasks_Clean[Department],AE9,tbl_Tasks_Clean[Status],"Completed")</f>
        <v>58792</v>
      </c>
    </row>
    <row r="10" customFormat="false" ht="14.25" hidden="false" customHeight="false" outlineLevel="0" collapsed="false">
      <c r="A10" s="22" t="s">
        <v>242</v>
      </c>
      <c r="B10" s="22" t="s">
        <v>120</v>
      </c>
      <c r="C10" s="22" t="s">
        <v>121</v>
      </c>
      <c r="D10" s="22" t="s">
        <v>205</v>
      </c>
      <c r="E10" s="22" t="s">
        <v>7</v>
      </c>
      <c r="F10" s="22" t="s">
        <v>12</v>
      </c>
      <c r="G10" s="22" t="s">
        <v>206</v>
      </c>
      <c r="H10" s="22" t="s">
        <v>212</v>
      </c>
      <c r="I10" s="23" t="n">
        <v>45395</v>
      </c>
      <c r="J10" s="23" t="n">
        <v>45419</v>
      </c>
      <c r="K10" s="23"/>
      <c r="L10" s="0" t="n">
        <v>10000</v>
      </c>
      <c r="M10" s="0" t="n">
        <v>5964</v>
      </c>
      <c r="N10" s="0" t="n">
        <v>24</v>
      </c>
      <c r="O10" s="0" t="n">
        <v>0</v>
      </c>
      <c r="P10" s="22" t="s">
        <v>122</v>
      </c>
      <c r="Q10" s="22" t="s">
        <v>123</v>
      </c>
      <c r="R10" s="23" t="n">
        <v>45348</v>
      </c>
      <c r="S10" s="0" t="n">
        <v>300000</v>
      </c>
      <c r="T10" s="22" t="s">
        <v>11</v>
      </c>
      <c r="U10" s="22" t="s">
        <v>13</v>
      </c>
      <c r="V10" s="0" t="n">
        <v>280</v>
      </c>
      <c r="W10" s="0" t="n">
        <f aca="false">tbl_Tasks_Clean[[#This Row],[Actual_Cost]]-tbl_Tasks_Clean[[#This Row],[Planned_Cost]]</f>
        <v>-4036</v>
      </c>
      <c r="X10" s="22" t="n">
        <f aca="false">IFERROR(tbl_Tasks_Clean[[#This Row],[Actual_Cost]]/tbl_Tasks_Clean[[#This Row],[Planned_Cost]],0)</f>
        <v>0.5964</v>
      </c>
      <c r="Y10" s="22" t="str">
        <f aca="false">IF(AND(tbl_Tasks_Clean[[#This Row],[Status]]="Completed",tbl_Tasks_Clean[[#This Row],[Delay_Days]]&lt;=0),"On Time","Late")</f>
        <v>Late</v>
      </c>
      <c r="Z10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0" s="22" t="str">
        <f aca="false">INDEX(tbl_Projects[Project_Manager],MATCH(tbl_Tasks_Clean[[#This Row],[Project_ID]],tbl_Projects[Project_ID],0))</f>
        <v>Nourhan Tarek</v>
      </c>
      <c r="AB10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  <c r="AE10" s="27" t="s">
        <v>76</v>
      </c>
      <c r="AF10" s="26" t="n">
        <f aca="false">COUNTIFS(tbl_Tasks_Clean[Department],AE10,tbl_Tasks_Clean[Status],"Delayed")</f>
        <v>6</v>
      </c>
      <c r="AG10" s="26" t="n">
        <f aca="false">SUMIFS(tbl_Tasks_Clean[Actual_Cost],tbl_Tasks_Clean[Department],AE10,tbl_Tasks_Clean[Status],"Completed")</f>
        <v>51635</v>
      </c>
    </row>
    <row r="11" customFormat="false" ht="14.25" hidden="false" customHeight="false" outlineLevel="0" collapsed="false">
      <c r="A11" s="22" t="s">
        <v>252</v>
      </c>
      <c r="B11" s="22" t="s">
        <v>143</v>
      </c>
      <c r="C11" s="22" t="s">
        <v>144</v>
      </c>
      <c r="D11" s="22" t="s">
        <v>1369</v>
      </c>
      <c r="E11" s="22" t="s">
        <v>7</v>
      </c>
      <c r="F11" s="22" t="s">
        <v>81</v>
      </c>
      <c r="G11" s="22" t="s">
        <v>175</v>
      </c>
      <c r="H11" s="22" t="s">
        <v>239</v>
      </c>
      <c r="I11" s="23" t="n">
        <v>45344</v>
      </c>
      <c r="J11" s="23" t="n">
        <v>45359</v>
      </c>
      <c r="K11" s="23" t="n">
        <v>45361</v>
      </c>
      <c r="L11" s="0" t="n">
        <v>1000</v>
      </c>
      <c r="M11" s="0" t="n">
        <v>1263</v>
      </c>
      <c r="N11" s="0" t="n">
        <v>15</v>
      </c>
      <c r="O11" s="0" t="n">
        <v>2</v>
      </c>
      <c r="P11" s="22" t="s">
        <v>145</v>
      </c>
      <c r="Q11" s="22" t="s">
        <v>101</v>
      </c>
      <c r="R11" s="23" t="n">
        <v>45303</v>
      </c>
      <c r="S11" s="0" t="n">
        <v>300000</v>
      </c>
      <c r="T11" s="22" t="s">
        <v>80</v>
      </c>
      <c r="U11" s="22" t="s">
        <v>77</v>
      </c>
      <c r="V11" s="0" t="n">
        <v>200</v>
      </c>
      <c r="W11" s="0" t="n">
        <f aca="false">tbl_Tasks_Clean[[#This Row],[Actual_Cost]]-tbl_Tasks_Clean[[#This Row],[Planned_Cost]]</f>
        <v>263</v>
      </c>
      <c r="X11" s="22" t="n">
        <f aca="false">IFERROR(tbl_Tasks_Clean[[#This Row],[Actual_Cost]]/tbl_Tasks_Clean[[#This Row],[Planned_Cost]],0)</f>
        <v>1.263</v>
      </c>
      <c r="Y11" s="22" t="str">
        <f aca="false">IF(AND(tbl_Tasks_Clean[[#This Row],[Status]]="Completed",tbl_Tasks_Clean[[#This Row],[Delay_Days]]&lt;=0),"On Time","Late")</f>
        <v>Late</v>
      </c>
      <c r="Z11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1" s="22" t="str">
        <f aca="false">INDEX(tbl_Projects[Project_Manager],MATCH(tbl_Tasks_Clean[[#This Row],[Project_ID]],tbl_Projects[Project_ID],0))</f>
        <v>Ahmed Nabil</v>
      </c>
      <c r="AB11" s="22" t="str">
        <f aca="false">IF(tbl_Tasks_Clean[[#This Row],[Delay_Days]]&gt;0,"Delayed by "&amp;TEXT(DATEDIF(tbl_Tasks_Clean[[#This Row],[Planned_End_Date]],tbl_Tasks_Clean[[#This Row],[Actual_End_Date]],"d"),"0")&amp;" days","No delay")</f>
        <v>Delayed by 2 days</v>
      </c>
      <c r="AG11" s="28" t="n">
        <f aca="false">SUM(AG4:AG10)</f>
        <v>520759</v>
      </c>
    </row>
    <row r="12" customFormat="false" ht="14.25" hidden="false" customHeight="false" outlineLevel="0" collapsed="false">
      <c r="A12" s="22" t="s">
        <v>279</v>
      </c>
      <c r="B12" s="22" t="s">
        <v>129</v>
      </c>
      <c r="C12" s="22" t="s">
        <v>130</v>
      </c>
      <c r="D12" s="22" t="s">
        <v>280</v>
      </c>
      <c r="E12" s="22" t="s">
        <v>7</v>
      </c>
      <c r="F12" s="22" t="s">
        <v>81</v>
      </c>
      <c r="G12" s="22" t="s">
        <v>275</v>
      </c>
      <c r="H12" s="22" t="s">
        <v>239</v>
      </c>
      <c r="I12" s="23" t="n">
        <v>45404</v>
      </c>
      <c r="J12" s="23" t="n">
        <v>45414</v>
      </c>
      <c r="K12" s="23" t="n">
        <v>45416</v>
      </c>
      <c r="L12" s="0" t="n">
        <v>2500</v>
      </c>
      <c r="M12" s="0" t="n">
        <v>2216</v>
      </c>
      <c r="N12" s="0" t="n">
        <v>10</v>
      </c>
      <c r="O12" s="0" t="n">
        <v>2</v>
      </c>
      <c r="P12" s="22" t="s">
        <v>118</v>
      </c>
      <c r="Q12" s="22" t="s">
        <v>131</v>
      </c>
      <c r="R12" s="23" t="n">
        <v>45379</v>
      </c>
      <c r="S12" s="0" t="n">
        <v>150000</v>
      </c>
      <c r="T12" s="22" t="s">
        <v>80</v>
      </c>
      <c r="U12" s="22" t="s">
        <v>77</v>
      </c>
      <c r="V12" s="0" t="n">
        <v>200</v>
      </c>
      <c r="W12" s="0" t="n">
        <f aca="false">tbl_Tasks_Clean[[#This Row],[Actual_Cost]]-tbl_Tasks_Clean[[#This Row],[Planned_Cost]]</f>
        <v>-284</v>
      </c>
      <c r="X12" s="22" t="n">
        <f aca="false">IFERROR(tbl_Tasks_Clean[[#This Row],[Actual_Cost]]/tbl_Tasks_Clean[[#This Row],[Planned_Cost]],0)</f>
        <v>0.8864</v>
      </c>
      <c r="Y12" s="22" t="str">
        <f aca="false">IF(AND(tbl_Tasks_Clean[[#This Row],[Status]]="Completed",tbl_Tasks_Clean[[#This Row],[Delay_Days]]&lt;=0),"On Time","Late")</f>
        <v>Late</v>
      </c>
      <c r="Z12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2" s="22" t="str">
        <f aca="false">INDEX(tbl_Projects[Project_Manager],MATCH(tbl_Tasks_Clean[[#This Row],[Project_ID]],tbl_Projects[Project_ID],0))</f>
        <v>Sara Hassan</v>
      </c>
      <c r="AB12" s="22" t="str">
        <f aca="false">IF(tbl_Tasks_Clean[[#This Row],[Delay_Days]]&gt;0,"Delayed by "&amp;TEXT(DATEDIF(tbl_Tasks_Clean[[#This Row],[Planned_End_Date]],tbl_Tasks_Clean[[#This Row],[Actual_End_Date]],"d"),"0")&amp;" days","No delay")</f>
        <v>Delayed by 2 days</v>
      </c>
    </row>
    <row r="13" customFormat="false" ht="14.25" hidden="false" customHeight="false" outlineLevel="0" collapsed="false">
      <c r="A13" s="22" t="s">
        <v>223</v>
      </c>
      <c r="B13" s="22" t="s">
        <v>133</v>
      </c>
      <c r="C13" s="22" t="s">
        <v>134</v>
      </c>
      <c r="D13" s="22" t="s">
        <v>224</v>
      </c>
      <c r="E13" s="22" t="s">
        <v>7</v>
      </c>
      <c r="F13" s="22" t="s">
        <v>15</v>
      </c>
      <c r="G13" s="22" t="s">
        <v>275</v>
      </c>
      <c r="H13" s="22" t="s">
        <v>212</v>
      </c>
      <c r="I13" s="23" t="n">
        <v>45473</v>
      </c>
      <c r="J13" s="23" t="n">
        <v>45488</v>
      </c>
      <c r="K13" s="23"/>
      <c r="L13" s="0" t="n">
        <v>4000</v>
      </c>
      <c r="M13" s="0" t="n">
        <v>2110</v>
      </c>
      <c r="N13" s="0" t="n">
        <v>15</v>
      </c>
      <c r="O13" s="0" t="n">
        <v>0</v>
      </c>
      <c r="P13" s="22" t="s">
        <v>135</v>
      </c>
      <c r="Q13" s="22" t="s">
        <v>101</v>
      </c>
      <c r="R13" s="23" t="n">
        <v>45347</v>
      </c>
      <c r="S13" s="0" t="n">
        <v>200000</v>
      </c>
      <c r="T13" s="22" t="s">
        <v>14</v>
      </c>
      <c r="U13" s="22" t="s">
        <v>16</v>
      </c>
      <c r="V13" s="0" t="n">
        <v>180</v>
      </c>
      <c r="W13" s="0" t="n">
        <f aca="false">tbl_Tasks_Clean[[#This Row],[Actual_Cost]]-tbl_Tasks_Clean[[#This Row],[Planned_Cost]]</f>
        <v>-1890</v>
      </c>
      <c r="X13" s="22" t="n">
        <f aca="false">IFERROR(tbl_Tasks_Clean[[#This Row],[Actual_Cost]]/tbl_Tasks_Clean[[#This Row],[Planned_Cost]],0)</f>
        <v>0.5275</v>
      </c>
      <c r="Y13" s="22" t="str">
        <f aca="false">IF(AND(tbl_Tasks_Clean[[#This Row],[Status]]="Completed",tbl_Tasks_Clean[[#This Row],[Delay_Days]]&lt;=0),"On Time","Late")</f>
        <v>Late</v>
      </c>
      <c r="Z13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3" s="22" t="str">
        <f aca="false">INDEX(tbl_Projects[Project_Manager],MATCH(tbl_Tasks_Clean[[#This Row],[Project_ID]],tbl_Projects[Project_ID],0))</f>
        <v>Ahmed Nabil</v>
      </c>
      <c r="AB13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4" customFormat="false" ht="14.25" hidden="false" customHeight="false" outlineLevel="0" collapsed="false">
      <c r="A14" s="22" t="s">
        <v>258</v>
      </c>
      <c r="B14" s="22" t="s">
        <v>93</v>
      </c>
      <c r="C14" s="22" t="s">
        <v>94</v>
      </c>
      <c r="D14" s="22" t="s">
        <v>259</v>
      </c>
      <c r="E14" s="22" t="s">
        <v>63</v>
      </c>
      <c r="F14" s="22" t="s">
        <v>15</v>
      </c>
      <c r="G14" s="22" t="s">
        <v>275</v>
      </c>
      <c r="H14" s="22" t="s">
        <v>201</v>
      </c>
      <c r="I14" s="23" t="n">
        <v>45513</v>
      </c>
      <c r="J14" s="23" t="n">
        <v>45536</v>
      </c>
      <c r="K14" s="23"/>
      <c r="L14" s="0" t="n">
        <v>6000</v>
      </c>
      <c r="M14" s="0" t="n">
        <v>0</v>
      </c>
      <c r="N14" s="0" t="n">
        <v>23</v>
      </c>
      <c r="O14" s="0" t="n">
        <v>0</v>
      </c>
      <c r="P14" s="22" t="s">
        <v>95</v>
      </c>
      <c r="Q14" s="22" t="s">
        <v>96</v>
      </c>
      <c r="R14" s="23" t="n">
        <v>45481</v>
      </c>
      <c r="S14" s="0" t="n">
        <v>150000</v>
      </c>
      <c r="T14" s="22" t="s">
        <v>14</v>
      </c>
      <c r="U14" s="22" t="s">
        <v>16</v>
      </c>
      <c r="V14" s="0" t="n">
        <v>180</v>
      </c>
      <c r="W14" s="0" t="n">
        <f aca="false">tbl_Tasks_Clean[[#This Row],[Actual_Cost]]-tbl_Tasks_Clean[[#This Row],[Planned_Cost]]</f>
        <v>-6000</v>
      </c>
      <c r="X14" s="22" t="n">
        <f aca="false">IFERROR(tbl_Tasks_Clean[[#This Row],[Actual_Cost]]/tbl_Tasks_Clean[[#This Row],[Planned_Cost]],0)</f>
        <v>0</v>
      </c>
      <c r="Y14" s="22" t="str">
        <f aca="false">IF(AND(tbl_Tasks_Clean[[#This Row],[Status]]="Completed",tbl_Tasks_Clean[[#This Row],[Delay_Days]]&lt;=0),"On Time","Late")</f>
        <v>Late</v>
      </c>
      <c r="Z14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4" s="22" t="str">
        <f aca="false">INDEX(tbl_Projects[Project_Manager],MATCH(tbl_Tasks_Clean[[#This Row],[Project_ID]],tbl_Projects[Project_ID],0))</f>
        <v>Youssef Adel</v>
      </c>
      <c r="AB14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5" customFormat="false" ht="14.25" hidden="false" customHeight="false" outlineLevel="0" collapsed="false">
      <c r="A15" s="22" t="s">
        <v>172</v>
      </c>
      <c r="B15" s="22" t="s">
        <v>133</v>
      </c>
      <c r="C15" s="22" t="s">
        <v>134</v>
      </c>
      <c r="D15" s="22" t="s">
        <v>503</v>
      </c>
      <c r="E15" s="22" t="s">
        <v>44</v>
      </c>
      <c r="F15" s="22" t="s">
        <v>37</v>
      </c>
      <c r="G15" s="22" t="s">
        <v>175</v>
      </c>
      <c r="H15" s="22" t="s">
        <v>212</v>
      </c>
      <c r="I15" s="23" t="n">
        <v>45385</v>
      </c>
      <c r="J15" s="23" t="n">
        <v>45412</v>
      </c>
      <c r="K15" s="23"/>
      <c r="L15" s="0" t="n">
        <v>1500</v>
      </c>
      <c r="M15" s="0" t="n">
        <v>377</v>
      </c>
      <c r="N15" s="0" t="n">
        <v>27</v>
      </c>
      <c r="O15" s="0" t="n">
        <v>0</v>
      </c>
      <c r="P15" s="22" t="s">
        <v>135</v>
      </c>
      <c r="Q15" s="22" t="s">
        <v>101</v>
      </c>
      <c r="R15" s="23" t="n">
        <v>45347</v>
      </c>
      <c r="S15" s="0" t="n">
        <v>200000</v>
      </c>
      <c r="T15" s="22" t="s">
        <v>36</v>
      </c>
      <c r="U15" s="22" t="s">
        <v>38</v>
      </c>
      <c r="V15" s="0" t="n">
        <v>280</v>
      </c>
      <c r="W15" s="0" t="n">
        <f aca="false">tbl_Tasks_Clean[[#This Row],[Actual_Cost]]-tbl_Tasks_Clean[[#This Row],[Planned_Cost]]</f>
        <v>-1123</v>
      </c>
      <c r="X15" s="22" t="n">
        <f aca="false">IFERROR(tbl_Tasks_Clean[[#This Row],[Actual_Cost]]/tbl_Tasks_Clean[[#This Row],[Planned_Cost]],0)</f>
        <v>0.251333333333333</v>
      </c>
      <c r="Y15" s="22" t="str">
        <f aca="false">IF(AND(tbl_Tasks_Clean[[#This Row],[Status]]="Completed",tbl_Tasks_Clean[[#This Row],[Delay_Days]]&lt;=0),"On Time","Late")</f>
        <v>Late</v>
      </c>
      <c r="Z15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5" s="22" t="str">
        <f aca="false">INDEX(tbl_Projects[Project_Manager],MATCH(tbl_Tasks_Clean[[#This Row],[Project_ID]],tbl_Projects[Project_ID],0))</f>
        <v>Ahmed Nabil</v>
      </c>
      <c r="AB15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  <c r="AE15" s="20"/>
    </row>
    <row r="16" customFormat="false" ht="14.25" hidden="false" customHeight="false" outlineLevel="0" collapsed="false">
      <c r="A16" s="22" t="s">
        <v>230</v>
      </c>
      <c r="B16" s="22" t="s">
        <v>108</v>
      </c>
      <c r="C16" s="22" t="s">
        <v>109</v>
      </c>
      <c r="D16" s="22" t="s">
        <v>231</v>
      </c>
      <c r="E16" s="22" t="s">
        <v>44</v>
      </c>
      <c r="F16" s="22" t="s">
        <v>18</v>
      </c>
      <c r="G16" s="22" t="s">
        <v>206</v>
      </c>
      <c r="H16" s="22" t="s">
        <v>239</v>
      </c>
      <c r="I16" s="23" t="n">
        <v>45301</v>
      </c>
      <c r="J16" s="23" t="n">
        <v>45306</v>
      </c>
      <c r="K16" s="23" t="n">
        <v>45303</v>
      </c>
      <c r="M16" s="0" t="n">
        <v>2553</v>
      </c>
      <c r="N16" s="0" t="n">
        <v>5</v>
      </c>
      <c r="O16" s="0" t="n">
        <v>-3</v>
      </c>
      <c r="P16" s="22" t="s">
        <v>110</v>
      </c>
      <c r="Q16" s="22" t="s">
        <v>101</v>
      </c>
      <c r="R16" s="23" t="n">
        <v>45300</v>
      </c>
      <c r="S16" s="0" t="n">
        <v>50000</v>
      </c>
      <c r="T16" s="22" t="s">
        <v>17</v>
      </c>
      <c r="U16" s="22" t="s">
        <v>8</v>
      </c>
      <c r="V16" s="0" t="n">
        <v>220</v>
      </c>
      <c r="W16" s="0" t="n">
        <f aca="false">tbl_Tasks_Clean[[#This Row],[Actual_Cost]]-tbl_Tasks_Clean[[#This Row],[Planned_Cost]]</f>
        <v>2553</v>
      </c>
      <c r="X16" s="22" t="n">
        <f aca="false">IFERROR(tbl_Tasks_Clean[[#This Row],[Actual_Cost]]/tbl_Tasks_Clean[[#This Row],[Planned_Cost]],0)</f>
        <v>0</v>
      </c>
      <c r="Y16" s="22" t="str">
        <f aca="false">IF(AND(tbl_Tasks_Clean[[#This Row],[Status]]="Completed",tbl_Tasks_Clean[[#This Row],[Delay_Days]]&lt;=0),"On Time","Late")</f>
        <v>On Time</v>
      </c>
      <c r="Z16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16" s="22" t="str">
        <f aca="false">INDEX(tbl_Projects[Project_Manager],MATCH(tbl_Tasks_Clean[[#This Row],[Project_ID]],tbl_Projects[Project_ID],0))</f>
        <v>Ahmed Nabil</v>
      </c>
      <c r="AB16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7" customFormat="false" ht="14.25" hidden="false" customHeight="false" outlineLevel="0" collapsed="false">
      <c r="A17" s="22" t="s">
        <v>272</v>
      </c>
      <c r="B17" s="22" t="s">
        <v>133</v>
      </c>
      <c r="C17" s="22" t="s">
        <v>134</v>
      </c>
      <c r="D17" s="22" t="s">
        <v>273</v>
      </c>
      <c r="E17" s="22" t="s">
        <v>7</v>
      </c>
      <c r="F17" s="22" t="s">
        <v>20</v>
      </c>
      <c r="G17" s="22" t="s">
        <v>275</v>
      </c>
      <c r="H17" s="22" t="s">
        <v>201</v>
      </c>
      <c r="I17" s="23" t="n">
        <v>45434</v>
      </c>
      <c r="J17" s="23" t="n">
        <v>45442</v>
      </c>
      <c r="K17" s="23"/>
      <c r="L17" s="0" t="n">
        <v>5000</v>
      </c>
      <c r="M17" s="0" t="n">
        <v>0</v>
      </c>
      <c r="N17" s="0" t="n">
        <v>8</v>
      </c>
      <c r="O17" s="0" t="n">
        <v>0</v>
      </c>
      <c r="P17" s="22" t="s">
        <v>135</v>
      </c>
      <c r="Q17" s="22" t="s">
        <v>101</v>
      </c>
      <c r="R17" s="23" t="n">
        <v>45347</v>
      </c>
      <c r="S17" s="0" t="n">
        <v>200000</v>
      </c>
      <c r="T17" s="22" t="s">
        <v>19</v>
      </c>
      <c r="U17" s="22" t="s">
        <v>22</v>
      </c>
      <c r="V17" s="0" t="n">
        <v>180</v>
      </c>
      <c r="W17" s="0" t="n">
        <f aca="false">tbl_Tasks_Clean[[#This Row],[Actual_Cost]]-tbl_Tasks_Clean[[#This Row],[Planned_Cost]]</f>
        <v>-5000</v>
      </c>
      <c r="X17" s="22" t="n">
        <f aca="false">IFERROR(tbl_Tasks_Clean[[#This Row],[Actual_Cost]]/tbl_Tasks_Clean[[#This Row],[Planned_Cost]],0)</f>
        <v>0</v>
      </c>
      <c r="Y17" s="22" t="str">
        <f aca="false">IF(AND(tbl_Tasks_Clean[[#This Row],[Status]]="Completed",tbl_Tasks_Clean[[#This Row],[Delay_Days]]&lt;=0),"On Time","Late")</f>
        <v>Late</v>
      </c>
      <c r="Z17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7" s="22" t="str">
        <f aca="false">INDEX(tbl_Projects[Project_Manager],MATCH(tbl_Tasks_Clean[[#This Row],[Project_ID]],tbl_Projects[Project_ID],0))</f>
        <v>Ahmed Nabil</v>
      </c>
      <c r="AB17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8" customFormat="false" ht="26.25" hidden="false" customHeight="true" outlineLevel="0" collapsed="false">
      <c r="A18" s="22" t="s">
        <v>204</v>
      </c>
      <c r="B18" s="22" t="s">
        <v>98</v>
      </c>
      <c r="C18" s="22" t="s">
        <v>99</v>
      </c>
      <c r="D18" s="22" t="s">
        <v>205</v>
      </c>
      <c r="E18" s="22" t="s">
        <v>63</v>
      </c>
      <c r="F18" s="22" t="s">
        <v>62</v>
      </c>
      <c r="G18" s="22" t="s">
        <v>206</v>
      </c>
      <c r="H18" s="22" t="s">
        <v>201</v>
      </c>
      <c r="I18" s="23" t="n">
        <v>45493</v>
      </c>
      <c r="J18" s="23" t="n">
        <v>45523</v>
      </c>
      <c r="K18" s="23"/>
      <c r="L18" s="0" t="n">
        <v>1000</v>
      </c>
      <c r="M18" s="0" t="n">
        <v>0</v>
      </c>
      <c r="N18" s="0" t="n">
        <v>30</v>
      </c>
      <c r="O18" s="0" t="n">
        <v>0</v>
      </c>
      <c r="P18" s="22" t="s">
        <v>100</v>
      </c>
      <c r="Q18" s="22" t="s">
        <v>101</v>
      </c>
      <c r="R18" s="23" t="n">
        <v>45349</v>
      </c>
      <c r="S18" s="0" t="n">
        <v>100000</v>
      </c>
      <c r="T18" s="22" t="s">
        <v>61</v>
      </c>
      <c r="U18" s="22" t="s">
        <v>64</v>
      </c>
      <c r="V18" s="0" t="n">
        <v>150</v>
      </c>
      <c r="W18" s="0" t="n">
        <f aca="false">tbl_Tasks_Clean[[#This Row],[Actual_Cost]]-tbl_Tasks_Clean[[#This Row],[Planned_Cost]]</f>
        <v>-1000</v>
      </c>
      <c r="X18" s="22" t="n">
        <f aca="false">IFERROR(tbl_Tasks_Clean[[#This Row],[Actual_Cost]]/tbl_Tasks_Clean[[#This Row],[Planned_Cost]],0)</f>
        <v>0</v>
      </c>
      <c r="Y18" s="22" t="str">
        <f aca="false">IF(AND(tbl_Tasks_Clean[[#This Row],[Status]]="Completed",tbl_Tasks_Clean[[#This Row],[Delay_Days]]&lt;=0),"On Time","Late")</f>
        <v>Late</v>
      </c>
      <c r="Z18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8" s="22" t="str">
        <f aca="false">INDEX(tbl_Projects[Project_Manager],MATCH(tbl_Tasks_Clean[[#This Row],[Project_ID]],tbl_Projects[Project_ID],0))</f>
        <v>Ahmed Nabil</v>
      </c>
      <c r="AB18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  <c r="AE18" s="24" t="s">
        <v>153</v>
      </c>
      <c r="AF18" s="24" t="s">
        <v>1370</v>
      </c>
      <c r="AG18" s="24" t="s">
        <v>1371</v>
      </c>
    </row>
    <row r="19" customFormat="false" ht="14.25" hidden="false" customHeight="false" outlineLevel="0" collapsed="false">
      <c r="A19" s="22" t="s">
        <v>301</v>
      </c>
      <c r="B19" s="22" t="s">
        <v>133</v>
      </c>
      <c r="C19" s="22" t="s">
        <v>134</v>
      </c>
      <c r="D19" s="22" t="s">
        <v>302</v>
      </c>
      <c r="E19" s="22" t="s">
        <v>44</v>
      </c>
      <c r="F19" s="22" t="s">
        <v>24</v>
      </c>
      <c r="G19" s="22" t="s">
        <v>175</v>
      </c>
      <c r="H19" s="22" t="s">
        <v>212</v>
      </c>
      <c r="I19" s="23" t="n">
        <v>45387</v>
      </c>
      <c r="J19" s="23" t="n">
        <v>45391</v>
      </c>
      <c r="K19" s="23"/>
      <c r="L19" s="0" t="n">
        <v>1500</v>
      </c>
      <c r="M19" s="0" t="n">
        <v>598</v>
      </c>
      <c r="N19" s="0" t="n">
        <v>4</v>
      </c>
      <c r="O19" s="0" t="n">
        <v>0</v>
      </c>
      <c r="P19" s="22" t="s">
        <v>135</v>
      </c>
      <c r="Q19" s="22" t="s">
        <v>101</v>
      </c>
      <c r="R19" s="23" t="n">
        <v>45347</v>
      </c>
      <c r="S19" s="0" t="n">
        <v>200000</v>
      </c>
      <c r="T19" s="22" t="s">
        <v>23</v>
      </c>
      <c r="U19" s="22" t="s">
        <v>22</v>
      </c>
      <c r="V19" s="0" t="n">
        <v>180</v>
      </c>
      <c r="W19" s="0" t="n">
        <f aca="false">tbl_Tasks_Clean[[#This Row],[Actual_Cost]]-tbl_Tasks_Clean[[#This Row],[Planned_Cost]]</f>
        <v>-902</v>
      </c>
      <c r="X19" s="22" t="n">
        <f aca="false">IFERROR(tbl_Tasks_Clean[[#This Row],[Actual_Cost]]/tbl_Tasks_Clean[[#This Row],[Planned_Cost]],0)</f>
        <v>0.398666666666667</v>
      </c>
      <c r="Y19" s="22" t="str">
        <f aca="false">IF(AND(tbl_Tasks_Clean[[#This Row],[Status]]="Completed",tbl_Tasks_Clean[[#This Row],[Delay_Days]]&lt;=0),"On Time","Late")</f>
        <v>Late</v>
      </c>
      <c r="Z19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19" s="22" t="str">
        <f aca="false">INDEX(tbl_Projects[Project_Manager],MATCH(tbl_Tasks_Clean[[#This Row],[Project_ID]],tbl_Projects[Project_ID],0))</f>
        <v>Ahmed Nabil</v>
      </c>
      <c r="AB19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  <c r="AE19" s="25" t="s">
        <v>275</v>
      </c>
      <c r="AF19" s="25" t="n">
        <f aca="false">AVERAGEIFS(tbl_Tasks_Clean[Delay_Days],tbl_Tasks_Clean[Priority],AE19,tbl_Tasks_Clean[Status],"Completed")</f>
        <v>0.0540540540540541</v>
      </c>
      <c r="AG19" s="29" t="n">
        <f aca="false">AVERAGEIFS(tbl_Tasks_Clean[Delay_Days],tbl_Tasks_Clean[Priority],AE19,tbl_Tasks_Clean[Status],"Delayed")</f>
        <v>6.73333333333333</v>
      </c>
    </row>
    <row r="20" customFormat="false" ht="14.25" hidden="false" customHeight="false" outlineLevel="0" collapsed="false">
      <c r="A20" s="22" t="s">
        <v>268</v>
      </c>
      <c r="B20" s="22" t="s">
        <v>93</v>
      </c>
      <c r="C20" s="22" t="s">
        <v>94</v>
      </c>
      <c r="D20" s="22" t="s">
        <v>269</v>
      </c>
      <c r="E20" s="22" t="s">
        <v>34</v>
      </c>
      <c r="F20" s="22" t="s">
        <v>26</v>
      </c>
      <c r="G20" s="22" t="s">
        <v>175</v>
      </c>
      <c r="H20" s="22" t="s">
        <v>239</v>
      </c>
      <c r="I20" s="23" t="n">
        <v>45542</v>
      </c>
      <c r="J20" s="23" t="n">
        <v>45553</v>
      </c>
      <c r="K20" s="23" t="n">
        <v>45553</v>
      </c>
      <c r="L20" s="0" t="n">
        <v>1500</v>
      </c>
      <c r="M20" s="0" t="n">
        <v>1799</v>
      </c>
      <c r="N20" s="0" t="n">
        <v>11</v>
      </c>
      <c r="O20" s="0" t="n">
        <v>0</v>
      </c>
      <c r="P20" s="22" t="s">
        <v>95</v>
      </c>
      <c r="Q20" s="22" t="s">
        <v>96</v>
      </c>
      <c r="R20" s="23" t="n">
        <v>45481</v>
      </c>
      <c r="S20" s="0" t="n">
        <v>150000</v>
      </c>
      <c r="T20" s="22" t="s">
        <v>25</v>
      </c>
      <c r="U20" s="22" t="s">
        <v>27</v>
      </c>
      <c r="V20" s="0" t="n">
        <v>200</v>
      </c>
      <c r="W20" s="0" t="n">
        <f aca="false">tbl_Tasks_Clean[[#This Row],[Actual_Cost]]-tbl_Tasks_Clean[[#This Row],[Planned_Cost]]</f>
        <v>299</v>
      </c>
      <c r="X20" s="22" t="n">
        <f aca="false">IFERROR(tbl_Tasks_Clean[[#This Row],[Actual_Cost]]/tbl_Tasks_Clean[[#This Row],[Planned_Cost]],0)</f>
        <v>1.19933333333333</v>
      </c>
      <c r="Y20" s="22" t="str">
        <f aca="false">IF(AND(tbl_Tasks_Clean[[#This Row],[Status]]="Completed",tbl_Tasks_Clean[[#This Row],[Delay_Days]]&lt;=0),"On Time","Late")</f>
        <v>On Time</v>
      </c>
      <c r="Z20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0" s="22" t="str">
        <f aca="false">INDEX(tbl_Projects[Project_Manager],MATCH(tbl_Tasks_Clean[[#This Row],[Project_ID]],tbl_Projects[Project_ID],0))</f>
        <v>Youssef Adel</v>
      </c>
      <c r="AB20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  <c r="AE20" s="25" t="s">
        <v>206</v>
      </c>
      <c r="AF20" s="25" t="n">
        <f aca="false">AVERAGEIFS(tbl_Tasks_Clean[Delay_Days],tbl_Tasks_Clean[Priority],AE20,tbl_Tasks_Clean[Status],"Completed")</f>
        <v>-0.24390243902439</v>
      </c>
      <c r="AG20" s="29" t="n">
        <f aca="false">AVERAGEIFS(tbl_Tasks_Clean[Delay_Days],tbl_Tasks_Clean[Priority],AE20,tbl_Tasks_Clean[Status],"Delayed")</f>
        <v>5.31578947368421</v>
      </c>
    </row>
    <row r="21" customFormat="false" ht="14.25" hidden="false" customHeight="false" outlineLevel="0" collapsed="false">
      <c r="A21" s="22" t="s">
        <v>179</v>
      </c>
      <c r="B21" s="22" t="s">
        <v>112</v>
      </c>
      <c r="C21" s="22" t="s">
        <v>113</v>
      </c>
      <c r="D21" s="22" t="s">
        <v>180</v>
      </c>
      <c r="E21" s="22" t="s">
        <v>34</v>
      </c>
      <c r="F21" s="22" t="s">
        <v>79</v>
      </c>
      <c r="G21" s="22" t="s">
        <v>206</v>
      </c>
      <c r="H21" s="22" t="s">
        <v>194</v>
      </c>
      <c r="I21" s="23" t="n">
        <v>45472</v>
      </c>
      <c r="J21" s="23" t="n">
        <v>45485</v>
      </c>
      <c r="K21" s="23" t="n">
        <v>45497</v>
      </c>
      <c r="L21" s="0" t="n">
        <v>4000</v>
      </c>
      <c r="M21" s="0" t="n">
        <v>4369</v>
      </c>
      <c r="N21" s="0" t="n">
        <v>13</v>
      </c>
      <c r="O21" s="0" t="n">
        <v>12</v>
      </c>
      <c r="P21" s="22" t="s">
        <v>114</v>
      </c>
      <c r="Q21" s="22" t="s">
        <v>91</v>
      </c>
      <c r="R21" s="23" t="n">
        <v>45347</v>
      </c>
      <c r="S21" s="0" t="n">
        <v>120000</v>
      </c>
      <c r="T21" s="22" t="s">
        <v>78</v>
      </c>
      <c r="U21" s="22" t="s">
        <v>77</v>
      </c>
      <c r="V21" s="0" t="n">
        <v>250</v>
      </c>
      <c r="W21" s="0" t="n">
        <f aca="false">tbl_Tasks_Clean[[#This Row],[Actual_Cost]]-tbl_Tasks_Clean[[#This Row],[Planned_Cost]]</f>
        <v>369</v>
      </c>
      <c r="X21" s="22" t="n">
        <f aca="false">IFERROR(tbl_Tasks_Clean[[#This Row],[Actual_Cost]]/tbl_Tasks_Clean[[#This Row],[Planned_Cost]],0)</f>
        <v>1.09225</v>
      </c>
      <c r="Y21" s="22" t="str">
        <f aca="false">IF(AND(tbl_Tasks_Clean[[#This Row],[Status]]="Completed",tbl_Tasks_Clean[[#This Row],[Delay_Days]]&lt;=0),"On Time","Late")</f>
        <v>Late</v>
      </c>
      <c r="Z21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1" s="22" t="str">
        <f aca="false">INDEX(tbl_Projects[Project_Manager],MATCH(tbl_Tasks_Clean[[#This Row],[Project_ID]],tbl_Projects[Project_ID],0))</f>
        <v>Mona Farid</v>
      </c>
      <c r="AB21" s="22" t="str">
        <f aca="false">IF(tbl_Tasks_Clean[[#This Row],[Delay_Days]]&gt;0,"Delayed by "&amp;TEXT(DATEDIF(tbl_Tasks_Clean[[#This Row],[Planned_End_Date]],tbl_Tasks_Clean[[#This Row],[Actual_End_Date]],"d"),"0")&amp;" days","No delay")</f>
        <v>Delayed by 12 days</v>
      </c>
      <c r="AE21" s="25" t="s">
        <v>175</v>
      </c>
      <c r="AF21" s="25" t="n">
        <f aca="false">AVERAGEIFS(tbl_Tasks_Clean[Delay_Days],tbl_Tasks_Clean[Priority],AE21,tbl_Tasks_Clean[Status],"Completed")</f>
        <v>-0.644444444444445</v>
      </c>
      <c r="AG21" s="29" t="n">
        <f aca="false">AVERAGEIFS(tbl_Tasks_Clean[Delay_Days],tbl_Tasks_Clean[Priority],AE21,tbl_Tasks_Clean[Status],"Delayed")</f>
        <v>3.33333333333333</v>
      </c>
    </row>
    <row r="22" customFormat="false" ht="14.25" hidden="false" customHeight="false" outlineLevel="0" collapsed="false">
      <c r="A22" s="22" t="s">
        <v>263</v>
      </c>
      <c r="B22" s="22" t="s">
        <v>108</v>
      </c>
      <c r="C22" s="22" t="s">
        <v>109</v>
      </c>
      <c r="D22" s="22" t="s">
        <v>264</v>
      </c>
      <c r="E22" s="22" t="s">
        <v>76</v>
      </c>
      <c r="F22" s="22" t="s">
        <v>79</v>
      </c>
      <c r="G22" s="22" t="s">
        <v>206</v>
      </c>
      <c r="H22" s="22" t="s">
        <v>239</v>
      </c>
      <c r="I22" s="23" t="n">
        <v>45319</v>
      </c>
      <c r="J22" s="23" t="n">
        <v>45343</v>
      </c>
      <c r="K22" s="23" t="n">
        <v>45345</v>
      </c>
      <c r="L22" s="0" t="n">
        <v>5000</v>
      </c>
      <c r="M22" s="0" t="n">
        <v>4772</v>
      </c>
      <c r="N22" s="0" t="n">
        <v>24</v>
      </c>
      <c r="O22" s="0" t="n">
        <v>2</v>
      </c>
      <c r="P22" s="22" t="s">
        <v>110</v>
      </c>
      <c r="Q22" s="22" t="s">
        <v>101</v>
      </c>
      <c r="R22" s="23" t="n">
        <v>45300</v>
      </c>
      <c r="S22" s="0" t="n">
        <v>50000</v>
      </c>
      <c r="T22" s="22" t="s">
        <v>78</v>
      </c>
      <c r="U22" s="22" t="s">
        <v>77</v>
      </c>
      <c r="V22" s="0" t="n">
        <v>250</v>
      </c>
      <c r="W22" s="0" t="n">
        <f aca="false">tbl_Tasks_Clean[[#This Row],[Actual_Cost]]-tbl_Tasks_Clean[[#This Row],[Planned_Cost]]</f>
        <v>-228</v>
      </c>
      <c r="X22" s="22" t="n">
        <f aca="false">IFERROR(tbl_Tasks_Clean[[#This Row],[Actual_Cost]]/tbl_Tasks_Clean[[#This Row],[Planned_Cost]],0)</f>
        <v>0.9544</v>
      </c>
      <c r="Y22" s="22" t="str">
        <f aca="false">IF(AND(tbl_Tasks_Clean[[#This Row],[Status]]="Completed",tbl_Tasks_Clean[[#This Row],[Delay_Days]]&lt;=0),"On Time","Late")</f>
        <v>Late</v>
      </c>
      <c r="Z22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2" s="22" t="str">
        <f aca="false">INDEX(tbl_Projects[Project_Manager],MATCH(tbl_Tasks_Clean[[#This Row],[Project_ID]],tbl_Projects[Project_ID],0))</f>
        <v>Ahmed Nabil</v>
      </c>
      <c r="AB22" s="22" t="str">
        <f aca="false">IF(tbl_Tasks_Clean[[#This Row],[Delay_Days]]&gt;0,"Delayed by "&amp;TEXT(DATEDIF(tbl_Tasks_Clean[[#This Row],[Planned_End_Date]],tbl_Tasks_Clean[[#This Row],[Actual_End_Date]],"d"),"0")&amp;" days","No delay")</f>
        <v>Delayed by 2 days</v>
      </c>
      <c r="AE22" s="25" t="s">
        <v>1372</v>
      </c>
      <c r="AF22" s="25" t="n">
        <f aca="false">AVERAGEIFS(tbl_Tasks_Clean[Delay_Days],tbl_Tasks_Clean[Priority],AE22,tbl_Tasks_Clean[Status],"Completed")</f>
        <v>0.5</v>
      </c>
      <c r="AG22" s="29" t="n">
        <f aca="false">IFERROR(AVERAGEIFS(tbl_Tasks_Clean[Delay_Days],tbl_Tasks_Clean[Priority],AE22,tbl_Tasks_Clean[Status],"Delayed"),0)</f>
        <v>0</v>
      </c>
    </row>
    <row r="23" customFormat="false" ht="14.25" hidden="false" customHeight="false" outlineLevel="0" collapsed="false">
      <c r="A23" s="22" t="s">
        <v>215</v>
      </c>
      <c r="B23" s="22" t="s">
        <v>108</v>
      </c>
      <c r="C23" s="22" t="s">
        <v>109</v>
      </c>
      <c r="D23" s="22" t="s">
        <v>216</v>
      </c>
      <c r="E23" s="22" t="s">
        <v>44</v>
      </c>
      <c r="F23" s="22" t="s">
        <v>29</v>
      </c>
      <c r="G23" s="22" t="s">
        <v>175</v>
      </c>
      <c r="H23" s="22" t="s">
        <v>239</v>
      </c>
      <c r="I23" s="23" t="n">
        <v>45341</v>
      </c>
      <c r="J23" s="23" t="n">
        <v>45370</v>
      </c>
      <c r="K23" s="23" t="n">
        <v>45368</v>
      </c>
      <c r="L23" s="0" t="n">
        <v>10000</v>
      </c>
      <c r="M23" s="0" t="n">
        <v>7969</v>
      </c>
      <c r="N23" s="0" t="n">
        <v>29</v>
      </c>
      <c r="O23" s="0" t="n">
        <v>-2</v>
      </c>
      <c r="P23" s="22" t="s">
        <v>110</v>
      </c>
      <c r="Q23" s="22" t="s">
        <v>101</v>
      </c>
      <c r="R23" s="23" t="n">
        <v>45300</v>
      </c>
      <c r="S23" s="0" t="n">
        <v>50000</v>
      </c>
      <c r="T23" s="22" t="s">
        <v>28</v>
      </c>
      <c r="U23" s="22" t="s">
        <v>22</v>
      </c>
      <c r="V23" s="0" t="n">
        <v>200</v>
      </c>
      <c r="W23" s="0" t="n">
        <f aca="false">tbl_Tasks_Clean[[#This Row],[Actual_Cost]]-tbl_Tasks_Clean[[#This Row],[Planned_Cost]]</f>
        <v>-2031</v>
      </c>
      <c r="X23" s="22" t="n">
        <f aca="false">IFERROR(tbl_Tasks_Clean[[#This Row],[Actual_Cost]]/tbl_Tasks_Clean[[#This Row],[Planned_Cost]],0)</f>
        <v>0.7969</v>
      </c>
      <c r="Y23" s="22" t="str">
        <f aca="false">IF(AND(tbl_Tasks_Clean[[#This Row],[Status]]="Completed",tbl_Tasks_Clean[[#This Row],[Delay_Days]]&lt;=0),"On Time","Late")</f>
        <v>On Time</v>
      </c>
      <c r="Z23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3" s="22" t="str">
        <f aca="false">INDEX(tbl_Projects[Project_Manager],MATCH(tbl_Tasks_Clean[[#This Row],[Project_ID]],tbl_Projects[Project_ID],0))</f>
        <v>Ahmed Nabil</v>
      </c>
      <c r="AB23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4" customFormat="false" ht="14.25" hidden="false" customHeight="false" outlineLevel="0" collapsed="false">
      <c r="A24" s="22" t="s">
        <v>187</v>
      </c>
      <c r="B24" s="22" t="s">
        <v>147</v>
      </c>
      <c r="C24" s="22" t="s">
        <v>148</v>
      </c>
      <c r="D24" s="22" t="s">
        <v>188</v>
      </c>
      <c r="E24" s="22" t="s">
        <v>34</v>
      </c>
      <c r="F24" s="22" t="s">
        <v>50</v>
      </c>
      <c r="G24" s="22" t="s">
        <v>275</v>
      </c>
      <c r="H24" s="22" t="s">
        <v>212</v>
      </c>
      <c r="I24" s="23" t="n">
        <v>45508</v>
      </c>
      <c r="J24" s="23" t="n">
        <v>45530</v>
      </c>
      <c r="K24" s="23"/>
      <c r="L24" s="0" t="n">
        <v>4000</v>
      </c>
      <c r="M24" s="0" t="n">
        <v>1678</v>
      </c>
      <c r="N24" s="0" t="n">
        <v>22</v>
      </c>
      <c r="O24" s="0" t="n">
        <v>0</v>
      </c>
      <c r="P24" s="22" t="s">
        <v>118</v>
      </c>
      <c r="Q24" s="22" t="s">
        <v>123</v>
      </c>
      <c r="R24" s="23" t="n">
        <v>45388</v>
      </c>
      <c r="S24" s="0" t="n">
        <v>75000</v>
      </c>
      <c r="T24" s="22" t="s">
        <v>49</v>
      </c>
      <c r="U24" s="22" t="s">
        <v>51</v>
      </c>
      <c r="V24" s="0" t="n">
        <v>300</v>
      </c>
      <c r="W24" s="0" t="n">
        <f aca="false">tbl_Tasks_Clean[[#This Row],[Actual_Cost]]-tbl_Tasks_Clean[[#This Row],[Planned_Cost]]</f>
        <v>-2322</v>
      </c>
      <c r="X24" s="22" t="n">
        <f aca="false">IFERROR(tbl_Tasks_Clean[[#This Row],[Actual_Cost]]/tbl_Tasks_Clean[[#This Row],[Planned_Cost]],0)</f>
        <v>0.4195</v>
      </c>
      <c r="Y24" s="22" t="str">
        <f aca="false">IF(AND(tbl_Tasks_Clean[[#This Row],[Status]]="Completed",tbl_Tasks_Clean[[#This Row],[Delay_Days]]&lt;=0),"On Time","Late")</f>
        <v>Late</v>
      </c>
      <c r="Z24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4" s="22" t="str">
        <f aca="false">INDEX(tbl_Projects[Project_Manager],MATCH(tbl_Tasks_Clean[[#This Row],[Project_ID]],tbl_Projects[Project_ID],0))</f>
        <v>Nourhan Tarek</v>
      </c>
      <c r="AB24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5" customFormat="false" ht="14.25" hidden="false" customHeight="false" outlineLevel="0" collapsed="false">
      <c r="A25" s="22" t="s">
        <v>198</v>
      </c>
      <c r="B25" s="22" t="s">
        <v>147</v>
      </c>
      <c r="C25" s="22" t="s">
        <v>148</v>
      </c>
      <c r="D25" s="22" t="s">
        <v>199</v>
      </c>
      <c r="E25" s="22" t="s">
        <v>34</v>
      </c>
      <c r="F25" s="22" t="s">
        <v>66</v>
      </c>
      <c r="G25" s="22" t="s">
        <v>206</v>
      </c>
      <c r="H25" s="22" t="s">
        <v>201</v>
      </c>
      <c r="I25" s="23" t="n">
        <v>45438</v>
      </c>
      <c r="J25" s="23" t="n">
        <v>45459</v>
      </c>
      <c r="K25" s="23"/>
      <c r="L25" s="0" t="n">
        <v>10000</v>
      </c>
      <c r="M25" s="0" t="n">
        <v>0</v>
      </c>
      <c r="N25" s="0" t="n">
        <v>21</v>
      </c>
      <c r="O25" s="0" t="n">
        <v>0</v>
      </c>
      <c r="P25" s="22" t="s">
        <v>118</v>
      </c>
      <c r="Q25" s="22" t="s">
        <v>123</v>
      </c>
      <c r="R25" s="23" t="n">
        <v>45388</v>
      </c>
      <c r="S25" s="0" t="n">
        <v>75000</v>
      </c>
      <c r="T25" s="22" t="s">
        <v>65</v>
      </c>
      <c r="U25" s="22" t="s">
        <v>67</v>
      </c>
      <c r="V25" s="0" t="n">
        <v>250</v>
      </c>
      <c r="W25" s="0" t="n">
        <f aca="false">tbl_Tasks_Clean[[#This Row],[Actual_Cost]]-tbl_Tasks_Clean[[#This Row],[Planned_Cost]]</f>
        <v>-10000</v>
      </c>
      <c r="X25" s="22" t="n">
        <f aca="false">IFERROR(tbl_Tasks_Clean[[#This Row],[Actual_Cost]]/tbl_Tasks_Clean[[#This Row],[Planned_Cost]],0)</f>
        <v>0</v>
      </c>
      <c r="Y25" s="22" t="str">
        <f aca="false">IF(AND(tbl_Tasks_Clean[[#This Row],[Status]]="Completed",tbl_Tasks_Clean[[#This Row],[Delay_Days]]&lt;=0),"On Time","Late")</f>
        <v>Late</v>
      </c>
      <c r="Z25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5" s="22" t="str">
        <f aca="false">INDEX(tbl_Projects[Project_Manager],MATCH(tbl_Tasks_Clean[[#This Row],[Project_ID]],tbl_Projects[Project_ID],0))</f>
        <v>Nourhan Tarek</v>
      </c>
      <c r="AB25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6" customFormat="false" ht="14.25" hidden="false" customHeight="false" outlineLevel="0" collapsed="false">
      <c r="A26" s="22" t="s">
        <v>236</v>
      </c>
      <c r="B26" s="22" t="s">
        <v>125</v>
      </c>
      <c r="C26" s="22" t="s">
        <v>126</v>
      </c>
      <c r="D26" s="22" t="s">
        <v>237</v>
      </c>
      <c r="E26" s="22" t="s">
        <v>76</v>
      </c>
      <c r="F26" s="22" t="s">
        <v>66</v>
      </c>
      <c r="G26" s="22" t="s">
        <v>175</v>
      </c>
      <c r="H26" s="22" t="s">
        <v>239</v>
      </c>
      <c r="I26" s="23" t="n">
        <v>45432</v>
      </c>
      <c r="J26" s="23" t="n">
        <v>45441</v>
      </c>
      <c r="K26" s="23" t="n">
        <v>45441</v>
      </c>
      <c r="L26" s="0" t="n">
        <v>1500</v>
      </c>
      <c r="M26" s="0" t="n">
        <v>1823</v>
      </c>
      <c r="N26" s="0" t="n">
        <v>9</v>
      </c>
      <c r="O26" s="0" t="n">
        <v>0</v>
      </c>
      <c r="P26" s="22" t="s">
        <v>127</v>
      </c>
      <c r="Q26" s="22" t="s">
        <v>106</v>
      </c>
      <c r="R26" s="23" t="n">
        <v>45293</v>
      </c>
      <c r="S26" s="0" t="n">
        <v>100000</v>
      </c>
      <c r="T26" s="22" t="s">
        <v>65</v>
      </c>
      <c r="U26" s="22" t="s">
        <v>67</v>
      </c>
      <c r="V26" s="0" t="n">
        <v>250</v>
      </c>
      <c r="W26" s="0" t="n">
        <f aca="false">tbl_Tasks_Clean[[#This Row],[Actual_Cost]]-tbl_Tasks_Clean[[#This Row],[Planned_Cost]]</f>
        <v>323</v>
      </c>
      <c r="X26" s="22" t="n">
        <f aca="false">IFERROR(tbl_Tasks_Clean[[#This Row],[Actual_Cost]]/tbl_Tasks_Clean[[#This Row],[Planned_Cost]],0)</f>
        <v>1.21533333333333</v>
      </c>
      <c r="Y26" s="22" t="str">
        <f aca="false">IF(AND(tbl_Tasks_Clean[[#This Row],[Status]]="Completed",tbl_Tasks_Clean[[#This Row],[Delay_Days]]&lt;=0),"On Time","Late")</f>
        <v>On Time</v>
      </c>
      <c r="Z26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6" s="22" t="str">
        <f aca="false">INDEX(tbl_Projects[Project_Manager],MATCH(tbl_Tasks_Clean[[#This Row],[Project_ID]],tbl_Projects[Project_ID],0))</f>
        <v>Laila Samir</v>
      </c>
      <c r="AB26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7" customFormat="false" ht="14.25" hidden="false" customHeight="false" outlineLevel="0" collapsed="false">
      <c r="A27" s="22" t="s">
        <v>192</v>
      </c>
      <c r="B27" s="22" t="s">
        <v>120</v>
      </c>
      <c r="C27" s="22" t="s">
        <v>121</v>
      </c>
      <c r="D27" s="22" t="s">
        <v>193</v>
      </c>
      <c r="E27" s="22" t="s">
        <v>34</v>
      </c>
      <c r="F27" s="22" t="s">
        <v>69</v>
      </c>
      <c r="G27" s="22" t="s">
        <v>275</v>
      </c>
      <c r="H27" s="22" t="s">
        <v>194</v>
      </c>
      <c r="I27" s="23" t="n">
        <v>45493</v>
      </c>
      <c r="J27" s="23" t="n">
        <v>45511</v>
      </c>
      <c r="K27" s="23" t="n">
        <v>45516</v>
      </c>
      <c r="L27" s="0" t="n">
        <v>1000</v>
      </c>
      <c r="M27" s="0" t="n">
        <v>1347</v>
      </c>
      <c r="N27" s="0" t="n">
        <v>18</v>
      </c>
      <c r="O27" s="0" t="n">
        <v>5</v>
      </c>
      <c r="P27" s="22" t="s">
        <v>122</v>
      </c>
      <c r="Q27" s="22" t="s">
        <v>123</v>
      </c>
      <c r="R27" s="23" t="n">
        <v>45348</v>
      </c>
      <c r="S27" s="0" t="n">
        <v>300000</v>
      </c>
      <c r="T27" s="22" t="s">
        <v>68</v>
      </c>
      <c r="U27" s="22" t="s">
        <v>67</v>
      </c>
      <c r="V27" s="0" t="n">
        <v>180</v>
      </c>
      <c r="W27" s="0" t="n">
        <f aca="false">tbl_Tasks_Clean[[#This Row],[Actual_Cost]]-tbl_Tasks_Clean[[#This Row],[Planned_Cost]]</f>
        <v>347</v>
      </c>
      <c r="X27" s="22" t="n">
        <f aca="false">IFERROR(tbl_Tasks_Clean[[#This Row],[Actual_Cost]]/tbl_Tasks_Clean[[#This Row],[Planned_Cost]],0)</f>
        <v>1.347</v>
      </c>
      <c r="Y27" s="22" t="str">
        <f aca="false">IF(AND(tbl_Tasks_Clean[[#This Row],[Status]]="Completed",tbl_Tasks_Clean[[#This Row],[Delay_Days]]&lt;=0),"On Time","Late")</f>
        <v>Late</v>
      </c>
      <c r="Z27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7" s="22" t="str">
        <f aca="false">INDEX(tbl_Projects[Project_Manager],MATCH(tbl_Tasks_Clean[[#This Row],[Project_ID]],tbl_Projects[Project_ID],0))</f>
        <v>Nourhan Tarek</v>
      </c>
      <c r="AB27" s="22" t="str">
        <f aca="false">IF(tbl_Tasks_Clean[[#This Row],[Delay_Days]]&gt;0,"Delayed by "&amp;TEXT(DATEDIF(tbl_Tasks_Clean[[#This Row],[Planned_End_Date]],tbl_Tasks_Clean[[#This Row],[Actual_End_Date]],"d"),"0")&amp;" days","No delay")</f>
        <v>Delayed by 5 days</v>
      </c>
    </row>
    <row r="28" customFormat="false" ht="14.25" hidden="false" customHeight="false" outlineLevel="0" collapsed="false">
      <c r="A28" s="22" t="s">
        <v>305</v>
      </c>
      <c r="B28" s="22" t="s">
        <v>120</v>
      </c>
      <c r="C28" s="22" t="s">
        <v>121</v>
      </c>
      <c r="D28" s="22" t="s">
        <v>306</v>
      </c>
      <c r="E28" s="22" t="s">
        <v>76</v>
      </c>
      <c r="F28" s="22" t="s">
        <v>71</v>
      </c>
      <c r="G28" s="22" t="s">
        <v>206</v>
      </c>
      <c r="H28" s="22" t="s">
        <v>201</v>
      </c>
      <c r="I28" s="23" t="n">
        <v>45469</v>
      </c>
      <c r="J28" s="23" t="n">
        <v>45473</v>
      </c>
      <c r="K28" s="23"/>
      <c r="L28" s="0" t="n">
        <v>1000</v>
      </c>
      <c r="M28" s="0" t="n">
        <v>0</v>
      </c>
      <c r="N28" s="0" t="n">
        <v>4</v>
      </c>
      <c r="O28" s="0" t="n">
        <v>0</v>
      </c>
      <c r="P28" s="22" t="s">
        <v>122</v>
      </c>
      <c r="Q28" s="22" t="s">
        <v>123</v>
      </c>
      <c r="R28" s="23" t="n">
        <v>45348</v>
      </c>
      <c r="S28" s="0" t="n">
        <v>300000</v>
      </c>
      <c r="T28" s="22" t="s">
        <v>70</v>
      </c>
      <c r="U28" s="22" t="s">
        <v>67</v>
      </c>
      <c r="V28" s="0" t="n">
        <v>180</v>
      </c>
      <c r="W28" s="0" t="n">
        <f aca="false">tbl_Tasks_Clean[[#This Row],[Actual_Cost]]-tbl_Tasks_Clean[[#This Row],[Planned_Cost]]</f>
        <v>-1000</v>
      </c>
      <c r="X28" s="22" t="n">
        <f aca="false">IFERROR(tbl_Tasks_Clean[[#This Row],[Actual_Cost]]/tbl_Tasks_Clean[[#This Row],[Planned_Cost]],0)</f>
        <v>0</v>
      </c>
      <c r="Y28" s="22" t="str">
        <f aca="false">IF(AND(tbl_Tasks_Clean[[#This Row],[Status]]="Completed",tbl_Tasks_Clean[[#This Row],[Delay_Days]]&lt;=0),"On Time","Late")</f>
        <v>Late</v>
      </c>
      <c r="Z28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28" s="22" t="str">
        <f aca="false">INDEX(tbl_Projects[Project_Manager],MATCH(tbl_Tasks_Clean[[#This Row],[Project_ID]],tbl_Projects[Project_ID],0))</f>
        <v>Nourhan Tarek</v>
      </c>
      <c r="AB28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9" customFormat="false" ht="14.25" hidden="false" customHeight="false" outlineLevel="0" collapsed="false">
      <c r="A29" s="22" t="s">
        <v>318</v>
      </c>
      <c r="B29" s="22" t="s">
        <v>112</v>
      </c>
      <c r="C29" s="22" t="s">
        <v>113</v>
      </c>
      <c r="D29" s="22" t="s">
        <v>319</v>
      </c>
      <c r="E29" s="22" t="s">
        <v>76</v>
      </c>
      <c r="F29" s="22" t="s">
        <v>40</v>
      </c>
      <c r="G29" s="22" t="s">
        <v>206</v>
      </c>
      <c r="H29" s="22" t="s">
        <v>239</v>
      </c>
      <c r="I29" s="23" t="n">
        <v>45481</v>
      </c>
      <c r="J29" s="23" t="n">
        <v>45504</v>
      </c>
      <c r="K29" s="23" t="n">
        <v>45506</v>
      </c>
      <c r="L29" s="0" t="n">
        <v>10000</v>
      </c>
      <c r="M29" s="0" t="n">
        <v>12422</v>
      </c>
      <c r="N29" s="0" t="n">
        <v>23</v>
      </c>
      <c r="O29" s="0" t="n">
        <v>2</v>
      </c>
      <c r="P29" s="22" t="s">
        <v>114</v>
      </c>
      <c r="Q29" s="22" t="s">
        <v>91</v>
      </c>
      <c r="R29" s="23" t="n">
        <v>45347</v>
      </c>
      <c r="S29" s="0" t="n">
        <v>120000</v>
      </c>
      <c r="T29" s="22" t="s">
        <v>39</v>
      </c>
      <c r="U29" s="22" t="s">
        <v>41</v>
      </c>
      <c r="V29" s="0" t="n">
        <v>220</v>
      </c>
      <c r="W29" s="0" t="n">
        <f aca="false">tbl_Tasks_Clean[[#This Row],[Actual_Cost]]-tbl_Tasks_Clean[[#This Row],[Planned_Cost]]</f>
        <v>2422</v>
      </c>
      <c r="X29" s="22" t="n">
        <f aca="false">IFERROR(tbl_Tasks_Clean[[#This Row],[Actual_Cost]]/tbl_Tasks_Clean[[#This Row],[Planned_Cost]],0)</f>
        <v>1.2422</v>
      </c>
      <c r="Y29" s="22" t="str">
        <f aca="false">IF(AND(tbl_Tasks_Clean[[#This Row],[Status]]="Completed",tbl_Tasks_Clean[[#This Row],[Delay_Days]]&lt;=0),"On Time","Late")</f>
        <v>Late</v>
      </c>
      <c r="Z29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9" s="22" t="str">
        <f aca="false">INDEX(tbl_Projects[Project_Manager],MATCH(tbl_Tasks_Clean[[#This Row],[Project_ID]],tbl_Projects[Project_ID],0))</f>
        <v>Mona Farid</v>
      </c>
      <c r="AB29" s="22" t="str">
        <f aca="false">IF(tbl_Tasks_Clean[[#This Row],[Delay_Days]]&gt;0,"Delayed by "&amp;TEXT(DATEDIF(tbl_Tasks_Clean[[#This Row],[Planned_End_Date]],tbl_Tasks_Clean[[#This Row],[Actual_End_Date]],"d"),"0")&amp;" days","No delay")</f>
        <v>Delayed by 2 days</v>
      </c>
    </row>
    <row r="30" customFormat="false" ht="14.25" hidden="false" customHeight="false" outlineLevel="0" collapsed="false">
      <c r="A30" s="22" t="s">
        <v>324</v>
      </c>
      <c r="B30" s="22" t="s">
        <v>147</v>
      </c>
      <c r="C30" s="22" t="s">
        <v>148</v>
      </c>
      <c r="D30" s="22" t="s">
        <v>325</v>
      </c>
      <c r="E30" s="22" t="s">
        <v>44</v>
      </c>
      <c r="F30" s="22" t="s">
        <v>33</v>
      </c>
      <c r="G30" s="22" t="s">
        <v>175</v>
      </c>
      <c r="H30" s="22" t="s">
        <v>194</v>
      </c>
      <c r="I30" s="23" t="n">
        <v>45506</v>
      </c>
      <c r="J30" s="23" t="n">
        <v>45529</v>
      </c>
      <c r="K30" s="23" t="n">
        <v>45530</v>
      </c>
      <c r="L30" s="0" t="n">
        <v>2000</v>
      </c>
      <c r="M30" s="0" t="n">
        <v>2297</v>
      </c>
      <c r="N30" s="0" t="n">
        <v>23</v>
      </c>
      <c r="O30" s="0" t="n">
        <v>1</v>
      </c>
      <c r="P30" s="22" t="s">
        <v>118</v>
      </c>
      <c r="Q30" s="22" t="s">
        <v>123</v>
      </c>
      <c r="R30" s="23" t="n">
        <v>45388</v>
      </c>
      <c r="S30" s="0" t="n">
        <v>75000</v>
      </c>
      <c r="T30" s="22" t="s">
        <v>32</v>
      </c>
      <c r="U30" s="22" t="s">
        <v>35</v>
      </c>
      <c r="V30" s="0" t="n">
        <v>250</v>
      </c>
      <c r="W30" s="0" t="n">
        <f aca="false">tbl_Tasks_Clean[[#This Row],[Actual_Cost]]-tbl_Tasks_Clean[[#This Row],[Planned_Cost]]</f>
        <v>297</v>
      </c>
      <c r="X30" s="22" t="n">
        <f aca="false">IFERROR(tbl_Tasks_Clean[[#This Row],[Actual_Cost]]/tbl_Tasks_Clean[[#This Row],[Planned_Cost]],0)</f>
        <v>1.1485</v>
      </c>
      <c r="Y30" s="22" t="str">
        <f aca="false">IF(AND(tbl_Tasks_Clean[[#This Row],[Status]]="Completed",tbl_Tasks_Clean[[#This Row],[Delay_Days]]&lt;=0),"On Time","Late")</f>
        <v>Late</v>
      </c>
      <c r="Z30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30" s="22" t="str">
        <f aca="false">INDEX(tbl_Projects[Project_Manager],MATCH(tbl_Tasks_Clean[[#This Row],[Project_ID]],tbl_Projects[Project_ID],0))</f>
        <v>Nourhan Tarek</v>
      </c>
      <c r="AB30" s="22" t="str">
        <f aca="false">IF(tbl_Tasks_Clean[[#This Row],[Delay_Days]]&gt;0,"Delayed by "&amp;TEXT(DATEDIF(tbl_Tasks_Clean[[#This Row],[Planned_End_Date]],tbl_Tasks_Clean[[#This Row],[Actual_End_Date]],"d"),"0")&amp;" days","No delay")</f>
        <v>Delayed by 1 days</v>
      </c>
    </row>
    <row r="31" customFormat="false" ht="14.25" hidden="false" customHeight="false" outlineLevel="0" collapsed="false">
      <c r="A31" s="22" t="s">
        <v>328</v>
      </c>
      <c r="B31" s="22" t="s">
        <v>98</v>
      </c>
      <c r="C31" s="22" t="s">
        <v>99</v>
      </c>
      <c r="D31" s="22" t="s">
        <v>329</v>
      </c>
      <c r="E31" s="22" t="s">
        <v>7</v>
      </c>
      <c r="F31" s="22" t="s">
        <v>81</v>
      </c>
      <c r="G31" s="22" t="s">
        <v>206</v>
      </c>
      <c r="H31" s="22" t="s">
        <v>239</v>
      </c>
      <c r="I31" s="23" t="n">
        <v>45352</v>
      </c>
      <c r="J31" s="23" t="n">
        <v>45372</v>
      </c>
      <c r="K31" s="23" t="n">
        <v>45372</v>
      </c>
      <c r="L31" s="0" t="n">
        <v>1500</v>
      </c>
      <c r="M31" s="0" t="n">
        <v>1286</v>
      </c>
      <c r="N31" s="0" t="n">
        <v>20</v>
      </c>
      <c r="O31" s="0" t="n">
        <v>0</v>
      </c>
      <c r="P31" s="22" t="s">
        <v>100</v>
      </c>
      <c r="Q31" s="22" t="s">
        <v>101</v>
      </c>
      <c r="R31" s="23" t="n">
        <v>45349</v>
      </c>
      <c r="S31" s="0" t="n">
        <v>100000</v>
      </c>
      <c r="T31" s="22" t="s">
        <v>80</v>
      </c>
      <c r="U31" s="22" t="s">
        <v>77</v>
      </c>
      <c r="V31" s="0" t="n">
        <v>200</v>
      </c>
      <c r="W31" s="0" t="n">
        <f aca="false">tbl_Tasks_Clean[[#This Row],[Actual_Cost]]-tbl_Tasks_Clean[[#This Row],[Planned_Cost]]</f>
        <v>-214</v>
      </c>
      <c r="X31" s="22" t="n">
        <f aca="false">IFERROR(tbl_Tasks_Clean[[#This Row],[Actual_Cost]]/tbl_Tasks_Clean[[#This Row],[Planned_Cost]],0)</f>
        <v>0.857333333333333</v>
      </c>
      <c r="Y31" s="22" t="str">
        <f aca="false">IF(AND(tbl_Tasks_Clean[[#This Row],[Status]]="Completed",tbl_Tasks_Clean[[#This Row],[Delay_Days]]&lt;=0),"On Time","Late")</f>
        <v>On Time</v>
      </c>
      <c r="Z31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31" s="22" t="str">
        <f aca="false">INDEX(tbl_Projects[Project_Manager],MATCH(tbl_Tasks_Clean[[#This Row],[Project_ID]],tbl_Projects[Project_ID],0))</f>
        <v>Ahmed Nabil</v>
      </c>
      <c r="AB31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32" customFormat="false" ht="14.25" hidden="false" customHeight="false" outlineLevel="0" collapsed="false">
      <c r="A32" s="22" t="s">
        <v>333</v>
      </c>
      <c r="B32" s="22" t="s">
        <v>98</v>
      </c>
      <c r="C32" s="22" t="s">
        <v>99</v>
      </c>
      <c r="D32" s="22" t="s">
        <v>334</v>
      </c>
      <c r="E32" s="22" t="s">
        <v>54</v>
      </c>
      <c r="F32" s="22" t="s">
        <v>73</v>
      </c>
      <c r="G32" s="22" t="s">
        <v>275</v>
      </c>
      <c r="H32" s="22" t="s">
        <v>239</v>
      </c>
      <c r="I32" s="23" t="n">
        <v>45495</v>
      </c>
      <c r="J32" s="23" t="n">
        <v>45510</v>
      </c>
      <c r="K32" s="23" t="n">
        <v>45508</v>
      </c>
      <c r="L32" s="0" t="n">
        <v>5000</v>
      </c>
      <c r="M32" s="0" t="n">
        <v>3653</v>
      </c>
      <c r="N32" s="0" t="n">
        <v>15</v>
      </c>
      <c r="O32" s="0" t="n">
        <v>-2</v>
      </c>
      <c r="P32" s="22" t="s">
        <v>100</v>
      </c>
      <c r="Q32" s="22" t="s">
        <v>101</v>
      </c>
      <c r="R32" s="23" t="n">
        <v>45349</v>
      </c>
      <c r="S32" s="0" t="n">
        <v>100000</v>
      </c>
      <c r="T32" s="22" t="s">
        <v>72</v>
      </c>
      <c r="U32" s="22" t="s">
        <v>67</v>
      </c>
      <c r="V32" s="0" t="n">
        <v>200</v>
      </c>
      <c r="W32" s="0" t="n">
        <f aca="false">tbl_Tasks_Clean[[#This Row],[Actual_Cost]]-tbl_Tasks_Clean[[#This Row],[Planned_Cost]]</f>
        <v>-1347</v>
      </c>
      <c r="X32" s="22" t="n">
        <f aca="false">IFERROR(tbl_Tasks_Clean[[#This Row],[Actual_Cost]]/tbl_Tasks_Clean[[#This Row],[Planned_Cost]],0)</f>
        <v>0.7306</v>
      </c>
      <c r="Y32" s="22" t="str">
        <f aca="false">IF(AND(tbl_Tasks_Clean[[#This Row],[Status]]="Completed",tbl_Tasks_Clean[[#This Row],[Delay_Days]]&lt;=0),"On Time","Late")</f>
        <v>On Time</v>
      </c>
      <c r="Z32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32" s="22" t="str">
        <f aca="false">INDEX(tbl_Projects[Project_Manager],MATCH(tbl_Tasks_Clean[[#This Row],[Project_ID]],tbl_Projects[Project_ID],0))</f>
        <v>Ahmed Nabil</v>
      </c>
      <c r="AB32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33" customFormat="false" ht="14.25" hidden="false" customHeight="false" outlineLevel="0" collapsed="false">
      <c r="A33" s="22" t="s">
        <v>338</v>
      </c>
      <c r="B33" s="22" t="s">
        <v>103</v>
      </c>
      <c r="C33" s="22" t="s">
        <v>104</v>
      </c>
      <c r="D33" s="22" t="s">
        <v>339</v>
      </c>
      <c r="E33" s="22" t="s">
        <v>7</v>
      </c>
      <c r="F33" s="22" t="s">
        <v>40</v>
      </c>
      <c r="G33" s="22" t="s">
        <v>275</v>
      </c>
      <c r="H33" s="22" t="s">
        <v>239</v>
      </c>
      <c r="I33" s="23" t="n">
        <v>45582</v>
      </c>
      <c r="J33" s="23" t="n">
        <v>45605</v>
      </c>
      <c r="K33" s="23" t="n">
        <v>45602</v>
      </c>
      <c r="L33" s="0" t="n">
        <v>1000</v>
      </c>
      <c r="M33" s="0" t="n">
        <v>1399</v>
      </c>
      <c r="N33" s="0" t="n">
        <v>23</v>
      </c>
      <c r="O33" s="0" t="n">
        <v>-3</v>
      </c>
      <c r="P33" s="22" t="s">
        <v>105</v>
      </c>
      <c r="Q33" s="22" t="s">
        <v>106</v>
      </c>
      <c r="R33" s="23" t="n">
        <v>45465</v>
      </c>
      <c r="S33" s="0" t="n">
        <v>75000</v>
      </c>
      <c r="T33" s="22" t="s">
        <v>39</v>
      </c>
      <c r="U33" s="22" t="s">
        <v>41</v>
      </c>
      <c r="V33" s="0" t="n">
        <v>220</v>
      </c>
      <c r="W33" s="0" t="n">
        <f aca="false">tbl_Tasks_Clean[[#This Row],[Actual_Cost]]-tbl_Tasks_Clean[[#This Row],[Planned_Cost]]</f>
        <v>399</v>
      </c>
      <c r="X33" s="22" t="n">
        <f aca="false">IFERROR(tbl_Tasks_Clean[[#This Row],[Actual_Cost]]/tbl_Tasks_Clean[[#This Row],[Planned_Cost]],0)</f>
        <v>1.399</v>
      </c>
      <c r="Y33" s="22" t="str">
        <f aca="false">IF(AND(tbl_Tasks_Clean[[#This Row],[Status]]="Completed",tbl_Tasks_Clean[[#This Row],[Delay_Days]]&lt;=0),"On Time","Late")</f>
        <v>On Time</v>
      </c>
      <c r="Z33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33" s="22" t="str">
        <f aca="false">INDEX(tbl_Projects[Project_Manager],MATCH(tbl_Tasks_Clean[[#This Row],[Project_ID]],tbl_Projects[Project_ID],0))</f>
        <v>Laila Samir</v>
      </c>
      <c r="AB33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34" customFormat="false" ht="14.25" hidden="false" customHeight="false" outlineLevel="0" collapsed="false">
      <c r="A34" s="22" t="s">
        <v>343</v>
      </c>
      <c r="B34" s="22" t="s">
        <v>147</v>
      </c>
      <c r="C34" s="22" t="s">
        <v>148</v>
      </c>
      <c r="D34" s="22" t="s">
        <v>1257</v>
      </c>
      <c r="E34" s="22" t="s">
        <v>7</v>
      </c>
      <c r="F34" s="22" t="s">
        <v>47</v>
      </c>
      <c r="G34" s="22" t="s">
        <v>275</v>
      </c>
      <c r="H34" s="22" t="s">
        <v>212</v>
      </c>
      <c r="I34" s="23" t="n">
        <v>45467</v>
      </c>
      <c r="J34" s="23" t="n">
        <v>45477</v>
      </c>
      <c r="K34" s="23"/>
      <c r="L34" s="0" t="n">
        <v>2500</v>
      </c>
      <c r="M34" s="0" t="n">
        <v>1606</v>
      </c>
      <c r="N34" s="0" t="n">
        <v>10</v>
      </c>
      <c r="O34" s="0" t="n">
        <v>0</v>
      </c>
      <c r="P34" s="22" t="s">
        <v>118</v>
      </c>
      <c r="Q34" s="22" t="s">
        <v>123</v>
      </c>
      <c r="R34" s="23" t="n">
        <v>45388</v>
      </c>
      <c r="S34" s="0" t="n">
        <v>75000</v>
      </c>
      <c r="T34" s="22" t="s">
        <v>46</v>
      </c>
      <c r="U34" s="22" t="s">
        <v>48</v>
      </c>
      <c r="V34" s="0" t="n">
        <v>280</v>
      </c>
      <c r="W34" s="0" t="n">
        <f aca="false">tbl_Tasks_Clean[[#This Row],[Actual_Cost]]-tbl_Tasks_Clean[[#This Row],[Planned_Cost]]</f>
        <v>-894</v>
      </c>
      <c r="X34" s="22" t="n">
        <f aca="false">IFERROR(tbl_Tasks_Clean[[#This Row],[Actual_Cost]]/tbl_Tasks_Clean[[#This Row],[Planned_Cost]],0)</f>
        <v>0.6424</v>
      </c>
      <c r="Y34" s="22" t="str">
        <f aca="false">IF(AND(tbl_Tasks_Clean[[#This Row],[Status]]="Completed",tbl_Tasks_Clean[[#This Row],[Delay_Days]]&lt;=0),"On Time","Late")</f>
        <v>Late</v>
      </c>
      <c r="Z34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34" s="22" t="str">
        <f aca="false">INDEX(tbl_Projects[Project_Manager],MATCH(tbl_Tasks_Clean[[#This Row],[Project_ID]],tbl_Projects[Project_ID],0))</f>
        <v>Nourhan Tarek</v>
      </c>
      <c r="AB34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35" customFormat="false" ht="14.25" hidden="false" customHeight="false" outlineLevel="0" collapsed="false">
      <c r="A35" s="22" t="s">
        <v>347</v>
      </c>
      <c r="B35" s="22" t="s">
        <v>88</v>
      </c>
      <c r="C35" s="22" t="s">
        <v>89</v>
      </c>
      <c r="D35" s="22" t="s">
        <v>348</v>
      </c>
      <c r="E35" s="22" t="s">
        <v>54</v>
      </c>
      <c r="F35" s="22" t="s">
        <v>37</v>
      </c>
      <c r="G35" s="22" t="s">
        <v>206</v>
      </c>
      <c r="H35" s="22" t="s">
        <v>194</v>
      </c>
      <c r="I35" s="23" t="n">
        <v>45603</v>
      </c>
      <c r="J35" s="23" t="n">
        <v>45614</v>
      </c>
      <c r="K35" s="23" t="n">
        <v>45612</v>
      </c>
      <c r="L35" s="0" t="n">
        <v>1500</v>
      </c>
      <c r="M35" s="0" t="n">
        <v>1676</v>
      </c>
      <c r="N35" s="0" t="n">
        <v>11</v>
      </c>
      <c r="O35" s="0" t="n">
        <v>-2</v>
      </c>
      <c r="P35" s="22" t="s">
        <v>90</v>
      </c>
      <c r="Q35" s="22" t="s">
        <v>91</v>
      </c>
      <c r="R35" s="23" t="n">
        <v>45455</v>
      </c>
      <c r="S35" s="0" t="n">
        <v>75000</v>
      </c>
      <c r="T35" s="22" t="s">
        <v>36</v>
      </c>
      <c r="U35" s="22" t="s">
        <v>38</v>
      </c>
      <c r="V35" s="0" t="n">
        <v>280</v>
      </c>
      <c r="W35" s="0" t="n">
        <f aca="false">tbl_Tasks_Clean[[#This Row],[Actual_Cost]]-tbl_Tasks_Clean[[#This Row],[Planned_Cost]]</f>
        <v>176</v>
      </c>
      <c r="X35" s="22" t="n">
        <f aca="false">IFERROR(tbl_Tasks_Clean[[#This Row],[Actual_Cost]]/tbl_Tasks_Clean[[#This Row],[Planned_Cost]],0)</f>
        <v>1.11733333333333</v>
      </c>
      <c r="Y35" s="22" t="str">
        <f aca="false">IF(AND(tbl_Tasks_Clean[[#This Row],[Status]]="Completed",tbl_Tasks_Clean[[#This Row],[Delay_Days]]&lt;=0),"On Time","Late")</f>
        <v>Late</v>
      </c>
      <c r="Z35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35" s="22" t="str">
        <f aca="false">INDEX(tbl_Projects[Project_Manager],MATCH(tbl_Tasks_Clean[[#This Row],[Project_ID]],tbl_Projects[Project_ID],0))</f>
        <v>Mona Farid</v>
      </c>
      <c r="AB35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36" customFormat="false" ht="14.25" hidden="false" customHeight="false" outlineLevel="0" collapsed="false">
      <c r="A36" s="22" t="s">
        <v>353</v>
      </c>
      <c r="B36" s="22" t="s">
        <v>129</v>
      </c>
      <c r="C36" s="22" t="s">
        <v>130</v>
      </c>
      <c r="D36" s="22" t="s">
        <v>354</v>
      </c>
      <c r="E36" s="22" t="s">
        <v>7</v>
      </c>
      <c r="F36" s="22" t="s">
        <v>33</v>
      </c>
      <c r="G36" s="22" t="s">
        <v>275</v>
      </c>
      <c r="H36" s="22" t="s">
        <v>201</v>
      </c>
      <c r="I36" s="23" t="n">
        <v>45513</v>
      </c>
      <c r="J36" s="23" t="n">
        <v>45531</v>
      </c>
      <c r="K36" s="23"/>
      <c r="L36" s="0" t="n">
        <v>1000</v>
      </c>
      <c r="M36" s="0" t="n">
        <v>0</v>
      </c>
      <c r="N36" s="0" t="n">
        <v>18</v>
      </c>
      <c r="O36" s="0" t="n">
        <v>0</v>
      </c>
      <c r="P36" s="22" t="s">
        <v>118</v>
      </c>
      <c r="Q36" s="22" t="s">
        <v>131</v>
      </c>
      <c r="R36" s="23" t="n">
        <v>45379</v>
      </c>
      <c r="S36" s="0" t="n">
        <v>150000</v>
      </c>
      <c r="T36" s="22" t="s">
        <v>32</v>
      </c>
      <c r="U36" s="22" t="s">
        <v>35</v>
      </c>
      <c r="V36" s="0" t="n">
        <v>250</v>
      </c>
      <c r="W36" s="0" t="n">
        <f aca="false">tbl_Tasks_Clean[[#This Row],[Actual_Cost]]-tbl_Tasks_Clean[[#This Row],[Planned_Cost]]</f>
        <v>-1000</v>
      </c>
      <c r="X36" s="22" t="n">
        <f aca="false">IFERROR(tbl_Tasks_Clean[[#This Row],[Actual_Cost]]/tbl_Tasks_Clean[[#This Row],[Planned_Cost]],0)</f>
        <v>0</v>
      </c>
      <c r="Y36" s="22" t="str">
        <f aca="false">IF(AND(tbl_Tasks_Clean[[#This Row],[Status]]="Completed",tbl_Tasks_Clean[[#This Row],[Delay_Days]]&lt;=0),"On Time","Late")</f>
        <v>Late</v>
      </c>
      <c r="Z36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36" s="22" t="str">
        <f aca="false">INDEX(tbl_Projects[Project_Manager],MATCH(tbl_Tasks_Clean[[#This Row],[Project_ID]],tbl_Projects[Project_ID],0))</f>
        <v>Sara Hassan</v>
      </c>
      <c r="AB36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37" customFormat="false" ht="14.25" hidden="false" customHeight="false" outlineLevel="0" collapsed="false">
      <c r="A37" s="22" t="s">
        <v>358</v>
      </c>
      <c r="B37" s="22" t="s">
        <v>112</v>
      </c>
      <c r="C37" s="22" t="s">
        <v>113</v>
      </c>
      <c r="D37" s="22" t="s">
        <v>359</v>
      </c>
      <c r="E37" s="22" t="s">
        <v>44</v>
      </c>
      <c r="F37" s="22" t="s">
        <v>62</v>
      </c>
      <c r="G37" s="22" t="s">
        <v>275</v>
      </c>
      <c r="H37" s="22" t="s">
        <v>201</v>
      </c>
      <c r="I37" s="23" t="n">
        <v>45428</v>
      </c>
      <c r="J37" s="23" t="n">
        <v>45436</v>
      </c>
      <c r="K37" s="23"/>
      <c r="L37" s="0" t="n">
        <v>5000</v>
      </c>
      <c r="M37" s="0" t="n">
        <v>0</v>
      </c>
      <c r="N37" s="0" t="n">
        <v>8</v>
      </c>
      <c r="O37" s="0" t="n">
        <v>0</v>
      </c>
      <c r="P37" s="22" t="s">
        <v>114</v>
      </c>
      <c r="Q37" s="22" t="s">
        <v>91</v>
      </c>
      <c r="R37" s="23" t="n">
        <v>45347</v>
      </c>
      <c r="S37" s="0" t="n">
        <v>120000</v>
      </c>
      <c r="T37" s="22" t="s">
        <v>61</v>
      </c>
      <c r="U37" s="22" t="s">
        <v>64</v>
      </c>
      <c r="V37" s="0" t="n">
        <v>150</v>
      </c>
      <c r="W37" s="0" t="n">
        <f aca="false">tbl_Tasks_Clean[[#This Row],[Actual_Cost]]-tbl_Tasks_Clean[[#This Row],[Planned_Cost]]</f>
        <v>-5000</v>
      </c>
      <c r="X37" s="22" t="n">
        <f aca="false">IFERROR(tbl_Tasks_Clean[[#This Row],[Actual_Cost]]/tbl_Tasks_Clean[[#This Row],[Planned_Cost]],0)</f>
        <v>0</v>
      </c>
      <c r="Y37" s="22" t="str">
        <f aca="false">IF(AND(tbl_Tasks_Clean[[#This Row],[Status]]="Completed",tbl_Tasks_Clean[[#This Row],[Delay_Days]]&lt;=0),"On Time","Late")</f>
        <v>Late</v>
      </c>
      <c r="Z37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37" s="22" t="str">
        <f aca="false">INDEX(tbl_Projects[Project_Manager],MATCH(tbl_Tasks_Clean[[#This Row],[Project_ID]],tbl_Projects[Project_ID],0))</f>
        <v>Mona Farid</v>
      </c>
      <c r="AB37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38" customFormat="false" ht="14.25" hidden="false" customHeight="false" outlineLevel="0" collapsed="false">
      <c r="A38" s="22" t="s">
        <v>362</v>
      </c>
      <c r="B38" s="22" t="s">
        <v>112</v>
      </c>
      <c r="C38" s="22" t="s">
        <v>113</v>
      </c>
      <c r="D38" s="22" t="s">
        <v>363</v>
      </c>
      <c r="E38" s="22" t="s">
        <v>21</v>
      </c>
      <c r="F38" s="22" t="s">
        <v>57</v>
      </c>
      <c r="G38" s="22" t="s">
        <v>206</v>
      </c>
      <c r="H38" s="22" t="s">
        <v>194</v>
      </c>
      <c r="I38" s="23" t="n">
        <v>45419</v>
      </c>
      <c r="J38" s="23" t="n">
        <v>45449</v>
      </c>
      <c r="K38" s="23" t="n">
        <v>45448</v>
      </c>
      <c r="L38" s="0" t="n">
        <v>3000</v>
      </c>
      <c r="M38" s="0" t="n">
        <v>2512</v>
      </c>
      <c r="N38" s="0" t="n">
        <v>30</v>
      </c>
      <c r="O38" s="0" t="n">
        <v>-1</v>
      </c>
      <c r="P38" s="22" t="s">
        <v>114</v>
      </c>
      <c r="Q38" s="22" t="s">
        <v>91</v>
      </c>
      <c r="R38" s="23" t="n">
        <v>45347</v>
      </c>
      <c r="S38" s="0" t="n">
        <v>120000</v>
      </c>
      <c r="T38" s="22" t="s">
        <v>56</v>
      </c>
      <c r="U38" s="22" t="s">
        <v>58</v>
      </c>
      <c r="V38" s="0" t="n">
        <v>150</v>
      </c>
      <c r="W38" s="0" t="n">
        <f aca="false">tbl_Tasks_Clean[[#This Row],[Actual_Cost]]-tbl_Tasks_Clean[[#This Row],[Planned_Cost]]</f>
        <v>-488</v>
      </c>
      <c r="X38" s="22" t="n">
        <f aca="false">IFERROR(tbl_Tasks_Clean[[#This Row],[Actual_Cost]]/tbl_Tasks_Clean[[#This Row],[Planned_Cost]],0)</f>
        <v>0.837333333333333</v>
      </c>
      <c r="Y38" s="22" t="str">
        <f aca="false">IF(AND(tbl_Tasks_Clean[[#This Row],[Status]]="Completed",tbl_Tasks_Clean[[#This Row],[Delay_Days]]&lt;=0),"On Time","Late")</f>
        <v>Late</v>
      </c>
      <c r="Z38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38" s="22" t="str">
        <f aca="false">INDEX(tbl_Projects[Project_Manager],MATCH(tbl_Tasks_Clean[[#This Row],[Project_ID]],tbl_Projects[Project_ID],0))</f>
        <v>Mona Farid</v>
      </c>
      <c r="AB38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39" customFormat="false" ht="14.25" hidden="false" customHeight="false" outlineLevel="0" collapsed="false">
      <c r="A39" s="22" t="s">
        <v>369</v>
      </c>
      <c r="B39" s="22" t="s">
        <v>129</v>
      </c>
      <c r="C39" s="22" t="s">
        <v>130</v>
      </c>
      <c r="D39" s="22" t="s">
        <v>370</v>
      </c>
      <c r="E39" s="22" t="s">
        <v>21</v>
      </c>
      <c r="F39" s="22" t="s">
        <v>24</v>
      </c>
      <c r="G39" s="22" t="s">
        <v>206</v>
      </c>
      <c r="H39" s="22" t="s">
        <v>212</v>
      </c>
      <c r="I39" s="23" t="n">
        <v>45460</v>
      </c>
      <c r="J39" s="23" t="n">
        <v>45477</v>
      </c>
      <c r="K39" s="23"/>
      <c r="L39" s="0" t="n">
        <v>3000</v>
      </c>
      <c r="M39" s="0" t="n">
        <v>1021</v>
      </c>
      <c r="N39" s="0" t="n">
        <v>17</v>
      </c>
      <c r="O39" s="0" t="n">
        <v>0</v>
      </c>
      <c r="P39" s="22" t="s">
        <v>118</v>
      </c>
      <c r="Q39" s="22" t="s">
        <v>131</v>
      </c>
      <c r="R39" s="23" t="n">
        <v>45379</v>
      </c>
      <c r="S39" s="0" t="n">
        <v>150000</v>
      </c>
      <c r="T39" s="22" t="s">
        <v>23</v>
      </c>
      <c r="U39" s="22" t="s">
        <v>22</v>
      </c>
      <c r="V39" s="0" t="n">
        <v>180</v>
      </c>
      <c r="W39" s="0" t="n">
        <f aca="false">tbl_Tasks_Clean[[#This Row],[Actual_Cost]]-tbl_Tasks_Clean[[#This Row],[Planned_Cost]]</f>
        <v>-1979</v>
      </c>
      <c r="X39" s="22" t="n">
        <f aca="false">IFERROR(tbl_Tasks_Clean[[#This Row],[Actual_Cost]]/tbl_Tasks_Clean[[#This Row],[Planned_Cost]],0)</f>
        <v>0.340333333333333</v>
      </c>
      <c r="Y39" s="22" t="str">
        <f aca="false">IF(AND(tbl_Tasks_Clean[[#This Row],[Status]]="Completed",tbl_Tasks_Clean[[#This Row],[Delay_Days]]&lt;=0),"On Time","Late")</f>
        <v>Late</v>
      </c>
      <c r="Z39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39" s="22" t="str">
        <f aca="false">INDEX(tbl_Projects[Project_Manager],MATCH(tbl_Tasks_Clean[[#This Row],[Project_ID]],tbl_Projects[Project_ID],0))</f>
        <v>Sara Hassan</v>
      </c>
      <c r="AB39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40" customFormat="false" ht="14.25" hidden="false" customHeight="false" outlineLevel="0" collapsed="false">
      <c r="A40" s="22" t="s">
        <v>373</v>
      </c>
      <c r="B40" s="22" t="s">
        <v>147</v>
      </c>
      <c r="C40" s="22" t="s">
        <v>148</v>
      </c>
      <c r="D40" s="22" t="s">
        <v>374</v>
      </c>
      <c r="E40" s="22" t="s">
        <v>34</v>
      </c>
      <c r="F40" s="22" t="s">
        <v>47</v>
      </c>
      <c r="G40" s="22" t="s">
        <v>175</v>
      </c>
      <c r="H40" s="22" t="s">
        <v>239</v>
      </c>
      <c r="I40" s="23" t="n">
        <v>45457</v>
      </c>
      <c r="J40" s="23" t="n">
        <v>45474</v>
      </c>
      <c r="K40" s="23" t="n">
        <v>45473</v>
      </c>
      <c r="L40" s="0" t="n">
        <v>10000</v>
      </c>
      <c r="M40" s="0" t="n">
        <v>10647</v>
      </c>
      <c r="N40" s="0" t="n">
        <v>17</v>
      </c>
      <c r="O40" s="0" t="n">
        <v>-1</v>
      </c>
      <c r="P40" s="22" t="s">
        <v>118</v>
      </c>
      <c r="Q40" s="22" t="s">
        <v>123</v>
      </c>
      <c r="R40" s="23" t="n">
        <v>45388</v>
      </c>
      <c r="S40" s="0" t="n">
        <v>75000</v>
      </c>
      <c r="T40" s="22" t="s">
        <v>46</v>
      </c>
      <c r="U40" s="22" t="s">
        <v>48</v>
      </c>
      <c r="V40" s="0" t="n">
        <v>280</v>
      </c>
      <c r="W40" s="0" t="n">
        <f aca="false">tbl_Tasks_Clean[[#This Row],[Actual_Cost]]-tbl_Tasks_Clean[[#This Row],[Planned_Cost]]</f>
        <v>647</v>
      </c>
      <c r="X40" s="22" t="n">
        <f aca="false">IFERROR(tbl_Tasks_Clean[[#This Row],[Actual_Cost]]/tbl_Tasks_Clean[[#This Row],[Planned_Cost]],0)</f>
        <v>1.0647</v>
      </c>
      <c r="Y40" s="22" t="str">
        <f aca="false">IF(AND(tbl_Tasks_Clean[[#This Row],[Status]]="Completed",tbl_Tasks_Clean[[#This Row],[Delay_Days]]&lt;=0),"On Time","Late")</f>
        <v>On Time</v>
      </c>
      <c r="Z40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40" s="22" t="str">
        <f aca="false">INDEX(tbl_Projects[Project_Manager],MATCH(tbl_Tasks_Clean[[#This Row],[Project_ID]],tbl_Projects[Project_ID],0))</f>
        <v>Nourhan Tarek</v>
      </c>
      <c r="AB40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41" customFormat="false" ht="14.25" hidden="false" customHeight="false" outlineLevel="0" collapsed="false">
      <c r="A41" s="22" t="s">
        <v>377</v>
      </c>
      <c r="B41" s="22" t="s">
        <v>125</v>
      </c>
      <c r="C41" s="22" t="s">
        <v>126</v>
      </c>
      <c r="D41" s="22" t="s">
        <v>378</v>
      </c>
      <c r="E41" s="22" t="s">
        <v>63</v>
      </c>
      <c r="F41" s="22" t="s">
        <v>33</v>
      </c>
      <c r="G41" s="22" t="s">
        <v>175</v>
      </c>
      <c r="H41" s="22" t="s">
        <v>212</v>
      </c>
      <c r="I41" s="23" t="n">
        <v>45348</v>
      </c>
      <c r="J41" s="23" t="n">
        <v>45364</v>
      </c>
      <c r="K41" s="23"/>
      <c r="L41" s="0" t="n">
        <v>2500</v>
      </c>
      <c r="M41" s="0" t="n">
        <v>1242</v>
      </c>
      <c r="N41" s="0" t="n">
        <v>16</v>
      </c>
      <c r="O41" s="0" t="n">
        <v>0</v>
      </c>
      <c r="P41" s="22" t="s">
        <v>127</v>
      </c>
      <c r="Q41" s="22" t="s">
        <v>106</v>
      </c>
      <c r="R41" s="23" t="n">
        <v>45293</v>
      </c>
      <c r="S41" s="0" t="n">
        <v>100000</v>
      </c>
      <c r="T41" s="22" t="s">
        <v>32</v>
      </c>
      <c r="U41" s="22" t="s">
        <v>35</v>
      </c>
      <c r="V41" s="0" t="n">
        <v>250</v>
      </c>
      <c r="W41" s="0" t="n">
        <f aca="false">tbl_Tasks_Clean[[#This Row],[Actual_Cost]]-tbl_Tasks_Clean[[#This Row],[Planned_Cost]]</f>
        <v>-1258</v>
      </c>
      <c r="X41" s="22" t="n">
        <f aca="false">IFERROR(tbl_Tasks_Clean[[#This Row],[Actual_Cost]]/tbl_Tasks_Clean[[#This Row],[Planned_Cost]],0)</f>
        <v>0.4968</v>
      </c>
      <c r="Y41" s="22" t="str">
        <f aca="false">IF(AND(tbl_Tasks_Clean[[#This Row],[Status]]="Completed",tbl_Tasks_Clean[[#This Row],[Delay_Days]]&lt;=0),"On Time","Late")</f>
        <v>Late</v>
      </c>
      <c r="Z41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41" s="22" t="str">
        <f aca="false">INDEX(tbl_Projects[Project_Manager],MATCH(tbl_Tasks_Clean[[#This Row],[Project_ID]],tbl_Projects[Project_ID],0))</f>
        <v>Laila Samir</v>
      </c>
      <c r="AB41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42" customFormat="false" ht="14.25" hidden="false" customHeight="false" outlineLevel="0" collapsed="false">
      <c r="A42" s="22" t="s">
        <v>381</v>
      </c>
      <c r="B42" s="22" t="s">
        <v>116</v>
      </c>
      <c r="C42" s="22" t="s">
        <v>117</v>
      </c>
      <c r="D42" s="22" t="s">
        <v>382</v>
      </c>
      <c r="E42" s="22" t="s">
        <v>7</v>
      </c>
      <c r="F42" s="22" t="s">
        <v>47</v>
      </c>
      <c r="G42" s="22" t="s">
        <v>175</v>
      </c>
      <c r="H42" s="22" t="s">
        <v>239</v>
      </c>
      <c r="I42" s="23" t="n">
        <v>45496</v>
      </c>
      <c r="J42" s="23" t="n">
        <v>45505</v>
      </c>
      <c r="K42" s="23" t="n">
        <v>45502</v>
      </c>
      <c r="L42" s="0" t="n">
        <v>1500</v>
      </c>
      <c r="M42" s="0" t="n">
        <v>1674</v>
      </c>
      <c r="N42" s="0" t="n">
        <v>9</v>
      </c>
      <c r="O42" s="0" t="n">
        <v>-3</v>
      </c>
      <c r="P42" s="22" t="s">
        <v>118</v>
      </c>
      <c r="Q42" s="22" t="s">
        <v>106</v>
      </c>
      <c r="R42" s="23" t="n">
        <v>45435</v>
      </c>
      <c r="S42" s="0" t="n">
        <v>120000</v>
      </c>
      <c r="T42" s="22" t="s">
        <v>46</v>
      </c>
      <c r="U42" s="22" t="s">
        <v>48</v>
      </c>
      <c r="V42" s="0" t="n">
        <v>280</v>
      </c>
      <c r="W42" s="0" t="n">
        <f aca="false">tbl_Tasks_Clean[[#This Row],[Actual_Cost]]-tbl_Tasks_Clean[[#This Row],[Planned_Cost]]</f>
        <v>174</v>
      </c>
      <c r="X42" s="22" t="n">
        <f aca="false">IFERROR(tbl_Tasks_Clean[[#This Row],[Actual_Cost]]/tbl_Tasks_Clean[[#This Row],[Planned_Cost]],0)</f>
        <v>1.116</v>
      </c>
      <c r="Y42" s="22" t="str">
        <f aca="false">IF(AND(tbl_Tasks_Clean[[#This Row],[Status]]="Completed",tbl_Tasks_Clean[[#This Row],[Delay_Days]]&lt;=0),"On Time","Late")</f>
        <v>On Time</v>
      </c>
      <c r="Z42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42" s="22" t="str">
        <f aca="false">INDEX(tbl_Projects[Project_Manager],MATCH(tbl_Tasks_Clean[[#This Row],[Project_ID]],tbl_Projects[Project_ID],0))</f>
        <v>Laila Samir</v>
      </c>
      <c r="AB42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43" customFormat="false" ht="14.25" hidden="false" customHeight="false" outlineLevel="0" collapsed="false">
      <c r="A43" s="22" t="s">
        <v>386</v>
      </c>
      <c r="B43" s="22" t="s">
        <v>133</v>
      </c>
      <c r="C43" s="22" t="s">
        <v>134</v>
      </c>
      <c r="D43" s="22" t="s">
        <v>387</v>
      </c>
      <c r="E43" s="22" t="s">
        <v>34</v>
      </c>
      <c r="F43" s="22" t="s">
        <v>26</v>
      </c>
      <c r="G43" s="22" t="s">
        <v>275</v>
      </c>
      <c r="H43" s="22" t="s">
        <v>212</v>
      </c>
      <c r="I43" s="23" t="n">
        <v>45432</v>
      </c>
      <c r="J43" s="23" t="n">
        <v>45449</v>
      </c>
      <c r="K43" s="23"/>
      <c r="L43" s="0" t="n">
        <v>1000</v>
      </c>
      <c r="M43" s="0" t="n">
        <v>359</v>
      </c>
      <c r="N43" s="0" t="n">
        <v>17</v>
      </c>
      <c r="O43" s="0" t="n">
        <v>0</v>
      </c>
      <c r="P43" s="22" t="s">
        <v>135</v>
      </c>
      <c r="Q43" s="22" t="s">
        <v>101</v>
      </c>
      <c r="R43" s="23" t="n">
        <v>45347</v>
      </c>
      <c r="S43" s="0" t="n">
        <v>200000</v>
      </c>
      <c r="T43" s="22" t="s">
        <v>25</v>
      </c>
      <c r="U43" s="22" t="s">
        <v>27</v>
      </c>
      <c r="V43" s="0" t="n">
        <v>200</v>
      </c>
      <c r="W43" s="0" t="n">
        <f aca="false">tbl_Tasks_Clean[[#This Row],[Actual_Cost]]-tbl_Tasks_Clean[[#This Row],[Planned_Cost]]</f>
        <v>-641</v>
      </c>
      <c r="X43" s="22" t="n">
        <f aca="false">IFERROR(tbl_Tasks_Clean[[#This Row],[Actual_Cost]]/tbl_Tasks_Clean[[#This Row],[Planned_Cost]],0)</f>
        <v>0.359</v>
      </c>
      <c r="Y43" s="22" t="str">
        <f aca="false">IF(AND(tbl_Tasks_Clean[[#This Row],[Status]]="Completed",tbl_Tasks_Clean[[#This Row],[Delay_Days]]&lt;=0),"On Time","Late")</f>
        <v>Late</v>
      </c>
      <c r="Z43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43" s="22" t="str">
        <f aca="false">INDEX(tbl_Projects[Project_Manager],MATCH(tbl_Tasks_Clean[[#This Row],[Project_ID]],tbl_Projects[Project_ID],0))</f>
        <v>Ahmed Nabil</v>
      </c>
      <c r="AB43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44" customFormat="false" ht="14.25" hidden="false" customHeight="false" outlineLevel="0" collapsed="false">
      <c r="A44" s="22" t="s">
        <v>390</v>
      </c>
      <c r="B44" s="22" t="s">
        <v>125</v>
      </c>
      <c r="C44" s="22" t="s">
        <v>126</v>
      </c>
      <c r="D44" s="22" t="s">
        <v>1140</v>
      </c>
      <c r="E44" s="22" t="s">
        <v>21</v>
      </c>
      <c r="F44" s="22" t="s">
        <v>40</v>
      </c>
      <c r="G44" s="22" t="s">
        <v>275</v>
      </c>
      <c r="H44" s="22" t="s">
        <v>201</v>
      </c>
      <c r="I44" s="23" t="n">
        <v>45387</v>
      </c>
      <c r="J44" s="23" t="n">
        <v>45399</v>
      </c>
      <c r="K44" s="23"/>
      <c r="L44" s="0" t="n">
        <v>2000</v>
      </c>
      <c r="M44" s="0" t="n">
        <v>0</v>
      </c>
      <c r="N44" s="0" t="n">
        <v>12</v>
      </c>
      <c r="O44" s="0" t="n">
        <v>0</v>
      </c>
      <c r="P44" s="22" t="s">
        <v>127</v>
      </c>
      <c r="Q44" s="22" t="s">
        <v>106</v>
      </c>
      <c r="R44" s="23" t="n">
        <v>45293</v>
      </c>
      <c r="S44" s="0" t="n">
        <v>100000</v>
      </c>
      <c r="T44" s="22" t="s">
        <v>39</v>
      </c>
      <c r="U44" s="22" t="s">
        <v>41</v>
      </c>
      <c r="V44" s="0" t="n">
        <v>220</v>
      </c>
      <c r="W44" s="0" t="n">
        <f aca="false">tbl_Tasks_Clean[[#This Row],[Actual_Cost]]-tbl_Tasks_Clean[[#This Row],[Planned_Cost]]</f>
        <v>-2000</v>
      </c>
      <c r="X44" s="22" t="n">
        <f aca="false">IFERROR(tbl_Tasks_Clean[[#This Row],[Actual_Cost]]/tbl_Tasks_Clean[[#This Row],[Planned_Cost]],0)</f>
        <v>0</v>
      </c>
      <c r="Y44" s="22" t="str">
        <f aca="false">IF(AND(tbl_Tasks_Clean[[#This Row],[Status]]="Completed",tbl_Tasks_Clean[[#This Row],[Delay_Days]]&lt;=0),"On Time","Late")</f>
        <v>Late</v>
      </c>
      <c r="Z44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44" s="22" t="str">
        <f aca="false">INDEX(tbl_Projects[Project_Manager],MATCH(tbl_Tasks_Clean[[#This Row],[Project_ID]],tbl_Projects[Project_ID],0))</f>
        <v>Laila Samir</v>
      </c>
      <c r="AB44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45" customFormat="false" ht="14.25" hidden="false" customHeight="false" outlineLevel="0" collapsed="false">
      <c r="A45" s="22" t="s">
        <v>395</v>
      </c>
      <c r="B45" s="22" t="s">
        <v>125</v>
      </c>
      <c r="C45" s="22" t="s">
        <v>126</v>
      </c>
      <c r="D45" s="22" t="s">
        <v>396</v>
      </c>
      <c r="E45" s="22" t="s">
        <v>44</v>
      </c>
      <c r="F45" s="22" t="s">
        <v>33</v>
      </c>
      <c r="G45" s="22" t="s">
        <v>206</v>
      </c>
      <c r="H45" s="22" t="s">
        <v>239</v>
      </c>
      <c r="I45" s="23" t="n">
        <v>45364</v>
      </c>
      <c r="J45" s="23" t="n">
        <v>45389</v>
      </c>
      <c r="K45" s="23" t="n">
        <v>45388</v>
      </c>
      <c r="L45" s="0" t="n">
        <v>6000</v>
      </c>
      <c r="M45" s="0" t="n">
        <v>8191</v>
      </c>
      <c r="N45" s="0" t="n">
        <v>25</v>
      </c>
      <c r="O45" s="0" t="n">
        <v>-1</v>
      </c>
      <c r="P45" s="22" t="s">
        <v>127</v>
      </c>
      <c r="Q45" s="22" t="s">
        <v>106</v>
      </c>
      <c r="R45" s="23" t="n">
        <v>45293</v>
      </c>
      <c r="S45" s="0" t="n">
        <v>100000</v>
      </c>
      <c r="T45" s="22" t="s">
        <v>32</v>
      </c>
      <c r="U45" s="22" t="s">
        <v>35</v>
      </c>
      <c r="V45" s="0" t="n">
        <v>250</v>
      </c>
      <c r="W45" s="0" t="n">
        <f aca="false">tbl_Tasks_Clean[[#This Row],[Actual_Cost]]-tbl_Tasks_Clean[[#This Row],[Planned_Cost]]</f>
        <v>2191</v>
      </c>
      <c r="X45" s="22" t="n">
        <f aca="false">IFERROR(tbl_Tasks_Clean[[#This Row],[Actual_Cost]]/tbl_Tasks_Clean[[#This Row],[Planned_Cost]],0)</f>
        <v>1.36516666666667</v>
      </c>
      <c r="Y45" s="22" t="str">
        <f aca="false">IF(AND(tbl_Tasks_Clean[[#This Row],[Status]]="Completed",tbl_Tasks_Clean[[#This Row],[Delay_Days]]&lt;=0),"On Time","Late")</f>
        <v>On Time</v>
      </c>
      <c r="Z45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45" s="22" t="str">
        <f aca="false">INDEX(tbl_Projects[Project_Manager],MATCH(tbl_Tasks_Clean[[#This Row],[Project_ID]],tbl_Projects[Project_ID],0))</f>
        <v>Laila Samir</v>
      </c>
      <c r="AB45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46" customFormat="false" ht="14.25" hidden="false" customHeight="false" outlineLevel="0" collapsed="false">
      <c r="A46" s="22" t="s">
        <v>400</v>
      </c>
      <c r="B46" s="22" t="s">
        <v>129</v>
      </c>
      <c r="C46" s="22" t="s">
        <v>130</v>
      </c>
      <c r="D46" s="22" t="s">
        <v>401</v>
      </c>
      <c r="E46" s="22" t="s">
        <v>54</v>
      </c>
      <c r="F46" s="22" t="s">
        <v>50</v>
      </c>
      <c r="G46" s="22" t="s">
        <v>175</v>
      </c>
      <c r="H46" s="22" t="s">
        <v>212</v>
      </c>
      <c r="I46" s="23" t="n">
        <v>45506</v>
      </c>
      <c r="J46" s="23" t="n">
        <v>45523</v>
      </c>
      <c r="K46" s="23"/>
      <c r="L46" s="0" t="n">
        <v>8000</v>
      </c>
      <c r="M46" s="0" t="n">
        <v>3329</v>
      </c>
      <c r="N46" s="0" t="n">
        <v>17</v>
      </c>
      <c r="O46" s="0" t="n">
        <v>0</v>
      </c>
      <c r="P46" s="22" t="s">
        <v>118</v>
      </c>
      <c r="Q46" s="22" t="s">
        <v>131</v>
      </c>
      <c r="R46" s="23" t="n">
        <v>45379</v>
      </c>
      <c r="S46" s="0" t="n">
        <v>150000</v>
      </c>
      <c r="T46" s="22" t="s">
        <v>49</v>
      </c>
      <c r="U46" s="22" t="s">
        <v>51</v>
      </c>
      <c r="V46" s="0" t="n">
        <v>300</v>
      </c>
      <c r="W46" s="0" t="n">
        <f aca="false">tbl_Tasks_Clean[[#This Row],[Actual_Cost]]-tbl_Tasks_Clean[[#This Row],[Planned_Cost]]</f>
        <v>-4671</v>
      </c>
      <c r="X46" s="22" t="n">
        <f aca="false">IFERROR(tbl_Tasks_Clean[[#This Row],[Actual_Cost]]/tbl_Tasks_Clean[[#This Row],[Planned_Cost]],0)</f>
        <v>0.416125</v>
      </c>
      <c r="Y46" s="22" t="str">
        <f aca="false">IF(AND(tbl_Tasks_Clean[[#This Row],[Status]]="Completed",tbl_Tasks_Clean[[#This Row],[Delay_Days]]&lt;=0),"On Time","Late")</f>
        <v>Late</v>
      </c>
      <c r="Z46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46" s="22" t="str">
        <f aca="false">INDEX(tbl_Projects[Project_Manager],MATCH(tbl_Tasks_Clean[[#This Row],[Project_ID]],tbl_Projects[Project_ID],0))</f>
        <v>Sara Hassan</v>
      </c>
      <c r="AB46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47" customFormat="false" ht="14.25" hidden="false" customHeight="false" outlineLevel="0" collapsed="false">
      <c r="A47" s="22" t="s">
        <v>404</v>
      </c>
      <c r="B47" s="22" t="s">
        <v>116</v>
      </c>
      <c r="C47" s="22" t="s">
        <v>117</v>
      </c>
      <c r="D47" s="22" t="s">
        <v>405</v>
      </c>
      <c r="E47" s="22" t="s">
        <v>21</v>
      </c>
      <c r="F47" s="22" t="s">
        <v>62</v>
      </c>
      <c r="G47" s="22" t="s">
        <v>275</v>
      </c>
      <c r="H47" s="22" t="s">
        <v>212</v>
      </c>
      <c r="I47" s="23" t="n">
        <v>45494</v>
      </c>
      <c r="J47" s="23" t="n">
        <v>45523</v>
      </c>
      <c r="K47" s="23"/>
      <c r="L47" s="0" t="n">
        <v>10000</v>
      </c>
      <c r="M47" s="0" t="n">
        <v>3913</v>
      </c>
      <c r="N47" s="0" t="n">
        <v>29</v>
      </c>
      <c r="O47" s="0" t="n">
        <v>0</v>
      </c>
      <c r="P47" s="22" t="s">
        <v>118</v>
      </c>
      <c r="Q47" s="22" t="s">
        <v>106</v>
      </c>
      <c r="R47" s="23" t="n">
        <v>45435</v>
      </c>
      <c r="S47" s="0" t="n">
        <v>120000</v>
      </c>
      <c r="T47" s="22" t="s">
        <v>61</v>
      </c>
      <c r="U47" s="22" t="s">
        <v>64</v>
      </c>
      <c r="V47" s="0" t="n">
        <v>150</v>
      </c>
      <c r="W47" s="0" t="n">
        <f aca="false">tbl_Tasks_Clean[[#This Row],[Actual_Cost]]-tbl_Tasks_Clean[[#This Row],[Planned_Cost]]</f>
        <v>-6087</v>
      </c>
      <c r="X47" s="22" t="n">
        <f aca="false">IFERROR(tbl_Tasks_Clean[[#This Row],[Actual_Cost]]/tbl_Tasks_Clean[[#This Row],[Planned_Cost]],0)</f>
        <v>0.3913</v>
      </c>
      <c r="Y47" s="22" t="str">
        <f aca="false">IF(AND(tbl_Tasks_Clean[[#This Row],[Status]]="Completed",tbl_Tasks_Clean[[#This Row],[Delay_Days]]&lt;=0),"On Time","Late")</f>
        <v>Late</v>
      </c>
      <c r="Z47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47" s="22" t="str">
        <f aca="false">INDEX(tbl_Projects[Project_Manager],MATCH(tbl_Tasks_Clean[[#This Row],[Project_ID]],tbl_Projects[Project_ID],0))</f>
        <v>Laila Samir</v>
      </c>
      <c r="AB47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48" customFormat="false" ht="14.25" hidden="false" customHeight="false" outlineLevel="0" collapsed="false">
      <c r="A48" s="22" t="s">
        <v>409</v>
      </c>
      <c r="B48" s="22" t="s">
        <v>98</v>
      </c>
      <c r="C48" s="22" t="s">
        <v>99</v>
      </c>
      <c r="D48" s="22" t="s">
        <v>410</v>
      </c>
      <c r="E48" s="22" t="s">
        <v>76</v>
      </c>
      <c r="F48" s="22" t="s">
        <v>37</v>
      </c>
      <c r="G48" s="22" t="s">
        <v>206</v>
      </c>
      <c r="H48" s="22" t="s">
        <v>194</v>
      </c>
      <c r="I48" s="23" t="n">
        <v>45450</v>
      </c>
      <c r="J48" s="23" t="n">
        <v>45453</v>
      </c>
      <c r="K48" s="23" t="n">
        <v>45458</v>
      </c>
      <c r="L48" s="0" t="n">
        <v>8000</v>
      </c>
      <c r="M48" s="0" t="n">
        <v>6292</v>
      </c>
      <c r="N48" s="0" t="n">
        <v>3</v>
      </c>
      <c r="O48" s="0" t="n">
        <v>5</v>
      </c>
      <c r="P48" s="22" t="s">
        <v>100</v>
      </c>
      <c r="Q48" s="22" t="s">
        <v>101</v>
      </c>
      <c r="R48" s="23" t="n">
        <v>45349</v>
      </c>
      <c r="S48" s="0" t="n">
        <v>100000</v>
      </c>
      <c r="T48" s="22" t="s">
        <v>36</v>
      </c>
      <c r="U48" s="22" t="s">
        <v>38</v>
      </c>
      <c r="V48" s="0" t="n">
        <v>280</v>
      </c>
      <c r="W48" s="0" t="n">
        <f aca="false">tbl_Tasks_Clean[[#This Row],[Actual_Cost]]-tbl_Tasks_Clean[[#This Row],[Planned_Cost]]</f>
        <v>-1708</v>
      </c>
      <c r="X48" s="22" t="n">
        <f aca="false">IFERROR(tbl_Tasks_Clean[[#This Row],[Actual_Cost]]/tbl_Tasks_Clean[[#This Row],[Planned_Cost]],0)</f>
        <v>0.7865</v>
      </c>
      <c r="Y48" s="22" t="str">
        <f aca="false">IF(AND(tbl_Tasks_Clean[[#This Row],[Status]]="Completed",tbl_Tasks_Clean[[#This Row],[Delay_Days]]&lt;=0),"On Time","Late")</f>
        <v>Late</v>
      </c>
      <c r="Z48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48" s="22" t="str">
        <f aca="false">INDEX(tbl_Projects[Project_Manager],MATCH(tbl_Tasks_Clean[[#This Row],[Project_ID]],tbl_Projects[Project_ID],0))</f>
        <v>Ahmed Nabil</v>
      </c>
      <c r="AB48" s="22" t="str">
        <f aca="false">IF(tbl_Tasks_Clean[[#This Row],[Delay_Days]]&gt;0,"Delayed by "&amp;TEXT(DATEDIF(tbl_Tasks_Clean[[#This Row],[Planned_End_Date]],tbl_Tasks_Clean[[#This Row],[Actual_End_Date]],"d"),"0")&amp;" days","No delay")</f>
        <v>Delayed by 5 days</v>
      </c>
    </row>
    <row r="49" customFormat="false" ht="14.25" hidden="false" customHeight="false" outlineLevel="0" collapsed="false">
      <c r="A49" s="22" t="s">
        <v>416</v>
      </c>
      <c r="B49" s="22" t="s">
        <v>103</v>
      </c>
      <c r="C49" s="22" t="s">
        <v>104</v>
      </c>
      <c r="D49" s="22" t="s">
        <v>417</v>
      </c>
      <c r="E49" s="22" t="s">
        <v>54</v>
      </c>
      <c r="F49" s="22" t="s">
        <v>73</v>
      </c>
      <c r="G49" s="22" t="s">
        <v>275</v>
      </c>
      <c r="H49" s="22" t="s">
        <v>201</v>
      </c>
      <c r="I49" s="23" t="n">
        <v>45572</v>
      </c>
      <c r="J49" s="23" t="n">
        <v>45591</v>
      </c>
      <c r="K49" s="23"/>
      <c r="L49" s="0" t="n">
        <v>1500</v>
      </c>
      <c r="M49" s="0" t="n">
        <v>0</v>
      </c>
      <c r="N49" s="0" t="n">
        <v>19</v>
      </c>
      <c r="O49" s="0" t="n">
        <v>0</v>
      </c>
      <c r="P49" s="22" t="s">
        <v>105</v>
      </c>
      <c r="Q49" s="22" t="s">
        <v>106</v>
      </c>
      <c r="R49" s="23" t="n">
        <v>45465</v>
      </c>
      <c r="S49" s="0" t="n">
        <v>75000</v>
      </c>
      <c r="T49" s="22" t="s">
        <v>72</v>
      </c>
      <c r="U49" s="22" t="s">
        <v>67</v>
      </c>
      <c r="V49" s="0" t="n">
        <v>200</v>
      </c>
      <c r="W49" s="0" t="n">
        <f aca="false">tbl_Tasks_Clean[[#This Row],[Actual_Cost]]-tbl_Tasks_Clean[[#This Row],[Planned_Cost]]</f>
        <v>-1500</v>
      </c>
      <c r="X49" s="22" t="n">
        <f aca="false">IFERROR(tbl_Tasks_Clean[[#This Row],[Actual_Cost]]/tbl_Tasks_Clean[[#This Row],[Planned_Cost]],0)</f>
        <v>0</v>
      </c>
      <c r="Y49" s="22" t="str">
        <f aca="false">IF(AND(tbl_Tasks_Clean[[#This Row],[Status]]="Completed",tbl_Tasks_Clean[[#This Row],[Delay_Days]]&lt;=0),"On Time","Late")</f>
        <v>Late</v>
      </c>
      <c r="Z49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49" s="22" t="str">
        <f aca="false">INDEX(tbl_Projects[Project_Manager],MATCH(tbl_Tasks_Clean[[#This Row],[Project_ID]],tbl_Projects[Project_ID],0))</f>
        <v>Laila Samir</v>
      </c>
      <c r="AB49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50" customFormat="false" ht="14.25" hidden="false" customHeight="false" outlineLevel="0" collapsed="false">
      <c r="A50" s="22" t="s">
        <v>420</v>
      </c>
      <c r="B50" s="22" t="s">
        <v>108</v>
      </c>
      <c r="C50" s="22" t="s">
        <v>109</v>
      </c>
      <c r="D50" s="22" t="s">
        <v>421</v>
      </c>
      <c r="E50" s="22" t="s">
        <v>34</v>
      </c>
      <c r="F50" s="22" t="s">
        <v>18</v>
      </c>
      <c r="G50" s="22" t="s">
        <v>175</v>
      </c>
      <c r="H50" s="22" t="s">
        <v>239</v>
      </c>
      <c r="I50" s="23" t="n">
        <v>45386</v>
      </c>
      <c r="J50" s="23" t="n">
        <v>45413</v>
      </c>
      <c r="K50" s="23" t="n">
        <v>45414</v>
      </c>
      <c r="L50" s="0" t="n">
        <v>2000</v>
      </c>
      <c r="M50" s="0" t="n">
        <v>2236</v>
      </c>
      <c r="N50" s="0" t="n">
        <v>27</v>
      </c>
      <c r="O50" s="0" t="n">
        <v>1</v>
      </c>
      <c r="P50" s="22" t="s">
        <v>110</v>
      </c>
      <c r="Q50" s="22" t="s">
        <v>101</v>
      </c>
      <c r="R50" s="23" t="n">
        <v>45300</v>
      </c>
      <c r="S50" s="0" t="n">
        <v>50000</v>
      </c>
      <c r="T50" s="22" t="s">
        <v>17</v>
      </c>
      <c r="U50" s="22" t="s">
        <v>8</v>
      </c>
      <c r="V50" s="0" t="n">
        <v>220</v>
      </c>
      <c r="W50" s="0" t="n">
        <f aca="false">tbl_Tasks_Clean[[#This Row],[Actual_Cost]]-tbl_Tasks_Clean[[#This Row],[Planned_Cost]]</f>
        <v>236</v>
      </c>
      <c r="X50" s="22" t="n">
        <f aca="false">IFERROR(tbl_Tasks_Clean[[#This Row],[Actual_Cost]]/tbl_Tasks_Clean[[#This Row],[Planned_Cost]],0)</f>
        <v>1.118</v>
      </c>
      <c r="Y50" s="22" t="str">
        <f aca="false">IF(AND(tbl_Tasks_Clean[[#This Row],[Status]]="Completed",tbl_Tasks_Clean[[#This Row],[Delay_Days]]&lt;=0),"On Time","Late")</f>
        <v>Late</v>
      </c>
      <c r="Z50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50" s="22" t="str">
        <f aca="false">INDEX(tbl_Projects[Project_Manager],MATCH(tbl_Tasks_Clean[[#This Row],[Project_ID]],tbl_Projects[Project_ID],0))</f>
        <v>Ahmed Nabil</v>
      </c>
      <c r="AB50" s="22" t="str">
        <f aca="false">IF(tbl_Tasks_Clean[[#This Row],[Delay_Days]]&gt;0,"Delayed by "&amp;TEXT(DATEDIF(tbl_Tasks_Clean[[#This Row],[Planned_End_Date]],tbl_Tasks_Clean[[#This Row],[Actual_End_Date]],"d"),"0")&amp;" days","No delay")</f>
        <v>Delayed by 1 days</v>
      </c>
    </row>
    <row r="51" customFormat="false" ht="14.25" hidden="false" customHeight="false" outlineLevel="0" collapsed="false">
      <c r="A51" s="22" t="s">
        <v>425</v>
      </c>
      <c r="B51" s="22" t="s">
        <v>93</v>
      </c>
      <c r="C51" s="22" t="s">
        <v>94</v>
      </c>
      <c r="D51" s="22" t="s">
        <v>205</v>
      </c>
      <c r="E51" s="22" t="s">
        <v>63</v>
      </c>
      <c r="F51" s="22" t="s">
        <v>81</v>
      </c>
      <c r="G51" s="22" t="s">
        <v>206</v>
      </c>
      <c r="H51" s="22" t="s">
        <v>212</v>
      </c>
      <c r="I51" s="23" t="n">
        <v>45615</v>
      </c>
      <c r="J51" s="23" t="n">
        <v>45637</v>
      </c>
      <c r="K51" s="23"/>
      <c r="L51" s="0" t="n">
        <v>3000</v>
      </c>
      <c r="M51" s="0" t="n">
        <v>2365</v>
      </c>
      <c r="N51" s="0" t="n">
        <v>22</v>
      </c>
      <c r="O51" s="0" t="n">
        <v>0</v>
      </c>
      <c r="P51" s="22" t="s">
        <v>95</v>
      </c>
      <c r="Q51" s="22" t="s">
        <v>96</v>
      </c>
      <c r="R51" s="23" t="n">
        <v>45481</v>
      </c>
      <c r="S51" s="0" t="n">
        <v>150000</v>
      </c>
      <c r="T51" s="22" t="s">
        <v>80</v>
      </c>
      <c r="U51" s="22" t="s">
        <v>77</v>
      </c>
      <c r="V51" s="0" t="n">
        <v>200</v>
      </c>
      <c r="W51" s="0" t="n">
        <f aca="false">tbl_Tasks_Clean[[#This Row],[Actual_Cost]]-tbl_Tasks_Clean[[#This Row],[Planned_Cost]]</f>
        <v>-635</v>
      </c>
      <c r="X51" s="22" t="n">
        <f aca="false">IFERROR(tbl_Tasks_Clean[[#This Row],[Actual_Cost]]/tbl_Tasks_Clean[[#This Row],[Planned_Cost]],0)</f>
        <v>0.788333333333333</v>
      </c>
      <c r="Y51" s="22" t="str">
        <f aca="false">IF(AND(tbl_Tasks_Clean[[#This Row],[Status]]="Completed",tbl_Tasks_Clean[[#This Row],[Delay_Days]]&lt;=0),"On Time","Late")</f>
        <v>Late</v>
      </c>
      <c r="Z51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51" s="22" t="str">
        <f aca="false">INDEX(tbl_Projects[Project_Manager],MATCH(tbl_Tasks_Clean[[#This Row],[Project_ID]],tbl_Projects[Project_ID],0))</f>
        <v>Youssef Adel</v>
      </c>
      <c r="AB51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52" customFormat="false" ht="14.25" hidden="false" customHeight="false" outlineLevel="0" collapsed="false">
      <c r="A52" s="22" t="s">
        <v>428</v>
      </c>
      <c r="B52" s="22" t="s">
        <v>140</v>
      </c>
      <c r="C52" s="22" t="s">
        <v>141</v>
      </c>
      <c r="D52" s="22" t="s">
        <v>429</v>
      </c>
      <c r="E52" s="22" t="s">
        <v>21</v>
      </c>
      <c r="F52" s="22" t="s">
        <v>6</v>
      </c>
      <c r="G52" s="22" t="s">
        <v>275</v>
      </c>
      <c r="H52" s="22" t="s">
        <v>239</v>
      </c>
      <c r="I52" s="23" t="n">
        <v>45487</v>
      </c>
      <c r="J52" s="23" t="n">
        <v>45502</v>
      </c>
      <c r="K52" s="23" t="n">
        <v>45502</v>
      </c>
      <c r="L52" s="0" t="n">
        <v>5000</v>
      </c>
      <c r="M52" s="0" t="n">
        <v>5016</v>
      </c>
      <c r="N52" s="0" t="n">
        <v>15</v>
      </c>
      <c r="O52" s="0" t="n">
        <v>0</v>
      </c>
      <c r="P52" s="22" t="s">
        <v>118</v>
      </c>
      <c r="Q52" s="22" t="s">
        <v>123</v>
      </c>
      <c r="R52" s="23" t="n">
        <v>45383</v>
      </c>
      <c r="S52" s="0" t="n">
        <v>200000</v>
      </c>
      <c r="T52" s="22" t="s">
        <v>5</v>
      </c>
      <c r="U52" s="22" t="s">
        <v>8</v>
      </c>
      <c r="V52" s="0" t="n">
        <v>150</v>
      </c>
      <c r="W52" s="0" t="n">
        <f aca="false">tbl_Tasks_Clean[[#This Row],[Actual_Cost]]-tbl_Tasks_Clean[[#This Row],[Planned_Cost]]</f>
        <v>16</v>
      </c>
      <c r="X52" s="22" t="n">
        <f aca="false">IFERROR(tbl_Tasks_Clean[[#This Row],[Actual_Cost]]/tbl_Tasks_Clean[[#This Row],[Planned_Cost]],0)</f>
        <v>1.0032</v>
      </c>
      <c r="Y52" s="22" t="str">
        <f aca="false">IF(AND(tbl_Tasks_Clean[[#This Row],[Status]]="Completed",tbl_Tasks_Clean[[#This Row],[Delay_Days]]&lt;=0),"On Time","Late")</f>
        <v>On Time</v>
      </c>
      <c r="Z52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52" s="22" t="str">
        <f aca="false">INDEX(tbl_Projects[Project_Manager],MATCH(tbl_Tasks_Clean[[#This Row],[Project_ID]],tbl_Projects[Project_ID],0))</f>
        <v>Nourhan Tarek</v>
      </c>
      <c r="AB52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53" customFormat="false" ht="14.25" hidden="false" customHeight="false" outlineLevel="0" collapsed="false">
      <c r="A53" s="22" t="s">
        <v>433</v>
      </c>
      <c r="B53" s="22" t="s">
        <v>103</v>
      </c>
      <c r="C53" s="22" t="s">
        <v>104</v>
      </c>
      <c r="D53" s="22" t="s">
        <v>231</v>
      </c>
      <c r="E53" s="22" t="s">
        <v>76</v>
      </c>
      <c r="F53" s="22" t="s">
        <v>47</v>
      </c>
      <c r="G53" s="22" t="s">
        <v>175</v>
      </c>
      <c r="H53" s="22" t="s">
        <v>194</v>
      </c>
      <c r="I53" s="23" t="n">
        <v>45575</v>
      </c>
      <c r="J53" s="23" t="n">
        <v>45592</v>
      </c>
      <c r="K53" s="23" t="n">
        <v>45596</v>
      </c>
      <c r="L53" s="0" t="n">
        <v>5000</v>
      </c>
      <c r="M53" s="0" t="n">
        <v>4686</v>
      </c>
      <c r="N53" s="0" t="n">
        <v>17</v>
      </c>
      <c r="O53" s="0" t="n">
        <v>4</v>
      </c>
      <c r="P53" s="22" t="s">
        <v>105</v>
      </c>
      <c r="Q53" s="22" t="s">
        <v>106</v>
      </c>
      <c r="R53" s="23" t="n">
        <v>45465</v>
      </c>
      <c r="S53" s="0" t="n">
        <v>75000</v>
      </c>
      <c r="T53" s="22" t="s">
        <v>46</v>
      </c>
      <c r="U53" s="22" t="s">
        <v>48</v>
      </c>
      <c r="V53" s="0" t="n">
        <v>280</v>
      </c>
      <c r="W53" s="0" t="n">
        <f aca="false">tbl_Tasks_Clean[[#This Row],[Actual_Cost]]-tbl_Tasks_Clean[[#This Row],[Planned_Cost]]</f>
        <v>-314</v>
      </c>
      <c r="X53" s="22" t="n">
        <f aca="false">IFERROR(tbl_Tasks_Clean[[#This Row],[Actual_Cost]]/tbl_Tasks_Clean[[#This Row],[Planned_Cost]],0)</f>
        <v>0.9372</v>
      </c>
      <c r="Y53" s="22" t="str">
        <f aca="false">IF(AND(tbl_Tasks_Clean[[#This Row],[Status]]="Completed",tbl_Tasks_Clean[[#This Row],[Delay_Days]]&lt;=0),"On Time","Late")</f>
        <v>Late</v>
      </c>
      <c r="Z53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53" s="22" t="str">
        <f aca="false">INDEX(tbl_Projects[Project_Manager],MATCH(tbl_Tasks_Clean[[#This Row],[Project_ID]],tbl_Projects[Project_ID],0))</f>
        <v>Laila Samir</v>
      </c>
      <c r="AB53" s="22" t="str">
        <f aca="false">IF(tbl_Tasks_Clean[[#This Row],[Delay_Days]]&gt;0,"Delayed by "&amp;TEXT(DATEDIF(tbl_Tasks_Clean[[#This Row],[Planned_End_Date]],tbl_Tasks_Clean[[#This Row],[Actual_End_Date]],"d"),"0")&amp;" days","No delay")</f>
        <v>Delayed by 4 days</v>
      </c>
    </row>
    <row r="54" customFormat="false" ht="14.25" hidden="false" customHeight="false" outlineLevel="0" collapsed="false">
      <c r="A54" s="22" t="s">
        <v>438</v>
      </c>
      <c r="B54" s="22" t="s">
        <v>129</v>
      </c>
      <c r="C54" s="22" t="s">
        <v>130</v>
      </c>
      <c r="D54" s="22" t="s">
        <v>439</v>
      </c>
      <c r="E54" s="22" t="s">
        <v>34</v>
      </c>
      <c r="F54" s="22" t="s">
        <v>60</v>
      </c>
      <c r="G54" s="22" t="s">
        <v>206</v>
      </c>
      <c r="H54" s="22" t="s">
        <v>212</v>
      </c>
      <c r="I54" s="23" t="n">
        <v>45386</v>
      </c>
      <c r="J54" s="23" t="n">
        <v>45411</v>
      </c>
      <c r="K54" s="23"/>
      <c r="L54" s="0" t="n">
        <v>4000</v>
      </c>
      <c r="M54" s="0" t="n">
        <v>3074</v>
      </c>
      <c r="N54" s="0" t="n">
        <v>25</v>
      </c>
      <c r="O54" s="0" t="n">
        <v>0</v>
      </c>
      <c r="P54" s="22" t="s">
        <v>118</v>
      </c>
      <c r="Q54" s="22" t="s">
        <v>131</v>
      </c>
      <c r="R54" s="23" t="n">
        <v>45379</v>
      </c>
      <c r="S54" s="0" t="n">
        <v>150000</v>
      </c>
      <c r="T54" s="22" t="s">
        <v>59</v>
      </c>
      <c r="U54" s="22" t="s">
        <v>58</v>
      </c>
      <c r="V54" s="0" t="n">
        <v>300</v>
      </c>
      <c r="W54" s="0" t="n">
        <f aca="false">tbl_Tasks_Clean[[#This Row],[Actual_Cost]]-tbl_Tasks_Clean[[#This Row],[Planned_Cost]]</f>
        <v>-926</v>
      </c>
      <c r="X54" s="22" t="n">
        <f aca="false">IFERROR(tbl_Tasks_Clean[[#This Row],[Actual_Cost]]/tbl_Tasks_Clean[[#This Row],[Planned_Cost]],0)</f>
        <v>0.7685</v>
      </c>
      <c r="Y54" s="22" t="str">
        <f aca="false">IF(AND(tbl_Tasks_Clean[[#This Row],[Status]]="Completed",tbl_Tasks_Clean[[#This Row],[Delay_Days]]&lt;=0),"On Time","Late")</f>
        <v>Late</v>
      </c>
      <c r="Z54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54" s="22" t="str">
        <f aca="false">INDEX(tbl_Projects[Project_Manager],MATCH(tbl_Tasks_Clean[[#This Row],[Project_ID]],tbl_Projects[Project_ID],0))</f>
        <v>Sara Hassan</v>
      </c>
      <c r="AB54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55" customFormat="false" ht="14.25" hidden="false" customHeight="false" outlineLevel="0" collapsed="false">
      <c r="A55" s="22" t="s">
        <v>441</v>
      </c>
      <c r="B55" s="22" t="s">
        <v>140</v>
      </c>
      <c r="C55" s="22" t="s">
        <v>141</v>
      </c>
      <c r="D55" s="22" t="s">
        <v>1373</v>
      </c>
      <c r="E55" s="22" t="s">
        <v>7</v>
      </c>
      <c r="F55" s="22" t="s">
        <v>15</v>
      </c>
      <c r="G55" s="22" t="s">
        <v>275</v>
      </c>
      <c r="H55" s="22" t="s">
        <v>239</v>
      </c>
      <c r="I55" s="23" t="n">
        <v>45393</v>
      </c>
      <c r="J55" s="23" t="n">
        <v>45417</v>
      </c>
      <c r="K55" s="23" t="n">
        <v>45416</v>
      </c>
      <c r="L55" s="0" t="n">
        <v>5000</v>
      </c>
      <c r="M55" s="0" t="n">
        <v>6706</v>
      </c>
      <c r="N55" s="0" t="n">
        <v>24</v>
      </c>
      <c r="O55" s="0" t="n">
        <v>-1</v>
      </c>
      <c r="P55" s="22" t="s">
        <v>118</v>
      </c>
      <c r="Q55" s="22" t="s">
        <v>123</v>
      </c>
      <c r="R55" s="23" t="n">
        <v>45383</v>
      </c>
      <c r="S55" s="0" t="n">
        <v>200000</v>
      </c>
      <c r="T55" s="22" t="s">
        <v>14</v>
      </c>
      <c r="U55" s="22" t="s">
        <v>16</v>
      </c>
      <c r="V55" s="0" t="n">
        <v>180</v>
      </c>
      <c r="W55" s="0" t="n">
        <f aca="false">tbl_Tasks_Clean[[#This Row],[Actual_Cost]]-tbl_Tasks_Clean[[#This Row],[Planned_Cost]]</f>
        <v>1706</v>
      </c>
      <c r="X55" s="22" t="n">
        <f aca="false">IFERROR(tbl_Tasks_Clean[[#This Row],[Actual_Cost]]/tbl_Tasks_Clean[[#This Row],[Planned_Cost]],0)</f>
        <v>1.3412</v>
      </c>
      <c r="Y55" s="22" t="str">
        <f aca="false">IF(AND(tbl_Tasks_Clean[[#This Row],[Status]]="Completed",tbl_Tasks_Clean[[#This Row],[Delay_Days]]&lt;=0),"On Time","Late")</f>
        <v>On Time</v>
      </c>
      <c r="Z55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55" s="22" t="str">
        <f aca="false">INDEX(tbl_Projects[Project_Manager],MATCH(tbl_Tasks_Clean[[#This Row],[Project_ID]],tbl_Projects[Project_ID],0))</f>
        <v>Nourhan Tarek</v>
      </c>
      <c r="AB55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56" customFormat="false" ht="14.25" hidden="false" customHeight="false" outlineLevel="0" collapsed="false">
      <c r="A56" s="22" t="s">
        <v>446</v>
      </c>
      <c r="B56" s="22" t="s">
        <v>136</v>
      </c>
      <c r="C56" s="22" t="s">
        <v>137</v>
      </c>
      <c r="D56" s="22" t="s">
        <v>447</v>
      </c>
      <c r="E56" s="22" t="s">
        <v>21</v>
      </c>
      <c r="F56" s="22" t="s">
        <v>73</v>
      </c>
      <c r="G56" s="22" t="s">
        <v>206</v>
      </c>
      <c r="H56" s="22" t="s">
        <v>239</v>
      </c>
      <c r="I56" s="23" t="n">
        <v>45442</v>
      </c>
      <c r="J56" s="23" t="n">
        <v>45459</v>
      </c>
      <c r="K56" s="23" t="n">
        <v>45458</v>
      </c>
      <c r="L56" s="0" t="n">
        <v>1500</v>
      </c>
      <c r="M56" s="0" t="n">
        <v>2080</v>
      </c>
      <c r="N56" s="0" t="n">
        <v>17</v>
      </c>
      <c r="O56" s="0" t="n">
        <v>-1</v>
      </c>
      <c r="P56" s="22" t="s">
        <v>138</v>
      </c>
      <c r="Q56" s="22" t="s">
        <v>101</v>
      </c>
      <c r="R56" s="23" t="n">
        <v>45315</v>
      </c>
      <c r="S56" s="0" t="n">
        <v>250000</v>
      </c>
      <c r="T56" s="22" t="s">
        <v>72</v>
      </c>
      <c r="U56" s="22" t="s">
        <v>67</v>
      </c>
      <c r="V56" s="0" t="n">
        <v>200</v>
      </c>
      <c r="W56" s="0" t="n">
        <f aca="false">tbl_Tasks_Clean[[#This Row],[Actual_Cost]]-tbl_Tasks_Clean[[#This Row],[Planned_Cost]]</f>
        <v>580</v>
      </c>
      <c r="X56" s="22" t="n">
        <f aca="false">IFERROR(tbl_Tasks_Clean[[#This Row],[Actual_Cost]]/tbl_Tasks_Clean[[#This Row],[Planned_Cost]],0)</f>
        <v>1.38666666666667</v>
      </c>
      <c r="Y56" s="22" t="str">
        <f aca="false">IF(AND(tbl_Tasks_Clean[[#This Row],[Status]]="Completed",tbl_Tasks_Clean[[#This Row],[Delay_Days]]&lt;=0),"On Time","Late")</f>
        <v>On Time</v>
      </c>
      <c r="Z56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56" s="22" t="str">
        <f aca="false">INDEX(tbl_Projects[Project_Manager],MATCH(tbl_Tasks_Clean[[#This Row],[Project_ID]],tbl_Projects[Project_ID],0))</f>
        <v>Ahmed Nabil</v>
      </c>
      <c r="AB56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57" customFormat="false" ht="14.25" hidden="false" customHeight="false" outlineLevel="0" collapsed="false">
      <c r="A57" s="22" t="s">
        <v>450</v>
      </c>
      <c r="B57" s="22" t="s">
        <v>98</v>
      </c>
      <c r="C57" s="22" t="s">
        <v>99</v>
      </c>
      <c r="D57" s="22" t="s">
        <v>451</v>
      </c>
      <c r="E57" s="22" t="s">
        <v>54</v>
      </c>
      <c r="F57" s="22" t="s">
        <v>26</v>
      </c>
      <c r="G57" s="22" t="s">
        <v>275</v>
      </c>
      <c r="H57" s="22" t="s">
        <v>212</v>
      </c>
      <c r="I57" s="23" t="n">
        <v>45431</v>
      </c>
      <c r="J57" s="23" t="n">
        <v>45453</v>
      </c>
      <c r="K57" s="23"/>
      <c r="L57" s="0" t="n">
        <v>3000</v>
      </c>
      <c r="M57" s="0" t="n">
        <v>647</v>
      </c>
      <c r="N57" s="0" t="n">
        <v>22</v>
      </c>
      <c r="O57" s="0" t="n">
        <v>0</v>
      </c>
      <c r="P57" s="22" t="s">
        <v>100</v>
      </c>
      <c r="Q57" s="22" t="s">
        <v>101</v>
      </c>
      <c r="R57" s="23" t="n">
        <v>45349</v>
      </c>
      <c r="S57" s="0" t="n">
        <v>100000</v>
      </c>
      <c r="T57" s="22" t="s">
        <v>25</v>
      </c>
      <c r="U57" s="22" t="s">
        <v>27</v>
      </c>
      <c r="V57" s="0" t="n">
        <v>200</v>
      </c>
      <c r="W57" s="0" t="n">
        <f aca="false">tbl_Tasks_Clean[[#This Row],[Actual_Cost]]-tbl_Tasks_Clean[[#This Row],[Planned_Cost]]</f>
        <v>-2353</v>
      </c>
      <c r="X57" s="22" t="n">
        <f aca="false">IFERROR(tbl_Tasks_Clean[[#This Row],[Actual_Cost]]/tbl_Tasks_Clean[[#This Row],[Planned_Cost]],0)</f>
        <v>0.215666666666667</v>
      </c>
      <c r="Y57" s="22" t="str">
        <f aca="false">IF(AND(tbl_Tasks_Clean[[#This Row],[Status]]="Completed",tbl_Tasks_Clean[[#This Row],[Delay_Days]]&lt;=0),"On Time","Late")</f>
        <v>Late</v>
      </c>
      <c r="Z57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57" s="22" t="str">
        <f aca="false">INDEX(tbl_Projects[Project_Manager],MATCH(tbl_Tasks_Clean[[#This Row],[Project_ID]],tbl_Projects[Project_ID],0))</f>
        <v>Ahmed Nabil</v>
      </c>
      <c r="AB57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58" customFormat="false" ht="14.25" hidden="false" customHeight="false" outlineLevel="0" collapsed="false">
      <c r="A58" s="22" t="s">
        <v>454</v>
      </c>
      <c r="B58" s="22" t="s">
        <v>133</v>
      </c>
      <c r="C58" s="22" t="s">
        <v>134</v>
      </c>
      <c r="D58" s="22" t="s">
        <v>280</v>
      </c>
      <c r="E58" s="22" t="s">
        <v>21</v>
      </c>
      <c r="F58" s="22" t="s">
        <v>62</v>
      </c>
      <c r="G58" s="22" t="s">
        <v>175</v>
      </c>
      <c r="H58" s="22" t="s">
        <v>239</v>
      </c>
      <c r="I58" s="23" t="n">
        <v>45428</v>
      </c>
      <c r="J58" s="23" t="n">
        <v>45436</v>
      </c>
      <c r="K58" s="23" t="n">
        <v>45438</v>
      </c>
      <c r="L58" s="0" t="n">
        <v>8000</v>
      </c>
      <c r="M58" s="0" t="n">
        <v>9484</v>
      </c>
      <c r="N58" s="0" t="n">
        <v>8</v>
      </c>
      <c r="O58" s="0" t="n">
        <v>2</v>
      </c>
      <c r="P58" s="22" t="s">
        <v>135</v>
      </c>
      <c r="Q58" s="22" t="s">
        <v>101</v>
      </c>
      <c r="R58" s="23" t="n">
        <v>45347</v>
      </c>
      <c r="S58" s="0" t="n">
        <v>200000</v>
      </c>
      <c r="T58" s="22" t="s">
        <v>61</v>
      </c>
      <c r="U58" s="22" t="s">
        <v>64</v>
      </c>
      <c r="V58" s="0" t="n">
        <v>150</v>
      </c>
      <c r="W58" s="0" t="n">
        <f aca="false">tbl_Tasks_Clean[[#This Row],[Actual_Cost]]-tbl_Tasks_Clean[[#This Row],[Planned_Cost]]</f>
        <v>1484</v>
      </c>
      <c r="X58" s="22" t="n">
        <f aca="false">IFERROR(tbl_Tasks_Clean[[#This Row],[Actual_Cost]]/tbl_Tasks_Clean[[#This Row],[Planned_Cost]],0)</f>
        <v>1.1855</v>
      </c>
      <c r="Y58" s="22" t="str">
        <f aca="false">IF(AND(tbl_Tasks_Clean[[#This Row],[Status]]="Completed",tbl_Tasks_Clean[[#This Row],[Delay_Days]]&lt;=0),"On Time","Late")</f>
        <v>Late</v>
      </c>
      <c r="Z58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58" s="22" t="str">
        <f aca="false">INDEX(tbl_Projects[Project_Manager],MATCH(tbl_Tasks_Clean[[#This Row],[Project_ID]],tbl_Projects[Project_ID],0))</f>
        <v>Ahmed Nabil</v>
      </c>
      <c r="AB58" s="22" t="str">
        <f aca="false">IF(tbl_Tasks_Clean[[#This Row],[Delay_Days]]&gt;0,"Delayed by "&amp;TEXT(DATEDIF(tbl_Tasks_Clean[[#This Row],[Planned_End_Date]],tbl_Tasks_Clean[[#This Row],[Actual_End_Date]],"d"),"0")&amp;" days","No delay")</f>
        <v>Delayed by 2 days</v>
      </c>
    </row>
    <row r="59" customFormat="false" ht="14.25" hidden="false" customHeight="false" outlineLevel="0" collapsed="false">
      <c r="A59" s="22" t="s">
        <v>456</v>
      </c>
      <c r="B59" s="22" t="s">
        <v>143</v>
      </c>
      <c r="C59" s="22" t="s">
        <v>144</v>
      </c>
      <c r="D59" s="22" t="s">
        <v>457</v>
      </c>
      <c r="E59" s="22" t="s">
        <v>63</v>
      </c>
      <c r="F59" s="22" t="s">
        <v>81</v>
      </c>
      <c r="G59" s="22" t="s">
        <v>175</v>
      </c>
      <c r="H59" s="22" t="s">
        <v>239</v>
      </c>
      <c r="I59" s="23" t="n">
        <v>45399</v>
      </c>
      <c r="J59" s="23" t="n">
        <v>45422</v>
      </c>
      <c r="K59" s="23" t="n">
        <v>45422</v>
      </c>
      <c r="L59" s="0" t="n">
        <v>4000</v>
      </c>
      <c r="M59" s="0" t="n">
        <v>4446</v>
      </c>
      <c r="N59" s="0" t="n">
        <v>23</v>
      </c>
      <c r="O59" s="0" t="n">
        <v>0</v>
      </c>
      <c r="P59" s="22" t="s">
        <v>145</v>
      </c>
      <c r="Q59" s="22" t="s">
        <v>101</v>
      </c>
      <c r="R59" s="23" t="n">
        <v>45303</v>
      </c>
      <c r="S59" s="0" t="n">
        <v>300000</v>
      </c>
      <c r="T59" s="22" t="s">
        <v>80</v>
      </c>
      <c r="U59" s="22" t="s">
        <v>77</v>
      </c>
      <c r="V59" s="0" t="n">
        <v>200</v>
      </c>
      <c r="W59" s="0" t="n">
        <f aca="false">tbl_Tasks_Clean[[#This Row],[Actual_Cost]]-tbl_Tasks_Clean[[#This Row],[Planned_Cost]]</f>
        <v>446</v>
      </c>
      <c r="X59" s="22" t="n">
        <f aca="false">IFERROR(tbl_Tasks_Clean[[#This Row],[Actual_Cost]]/tbl_Tasks_Clean[[#This Row],[Planned_Cost]],0)</f>
        <v>1.1115</v>
      </c>
      <c r="Y59" s="22" t="str">
        <f aca="false">IF(AND(tbl_Tasks_Clean[[#This Row],[Status]]="Completed",tbl_Tasks_Clean[[#This Row],[Delay_Days]]&lt;=0),"On Time","Late")</f>
        <v>On Time</v>
      </c>
      <c r="Z59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59" s="22" t="str">
        <f aca="false">INDEX(tbl_Projects[Project_Manager],MATCH(tbl_Tasks_Clean[[#This Row],[Project_ID]],tbl_Projects[Project_ID],0))</f>
        <v>Ahmed Nabil</v>
      </c>
      <c r="AB59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60" customFormat="false" ht="14.25" hidden="false" customHeight="false" outlineLevel="0" collapsed="false">
      <c r="A60" s="22" t="s">
        <v>461</v>
      </c>
      <c r="B60" s="22" t="s">
        <v>143</v>
      </c>
      <c r="C60" s="22" t="s">
        <v>144</v>
      </c>
      <c r="D60" s="22" t="s">
        <v>462</v>
      </c>
      <c r="E60" s="22" t="s">
        <v>34</v>
      </c>
      <c r="F60" s="22" t="s">
        <v>81</v>
      </c>
      <c r="G60" s="22" t="s">
        <v>175</v>
      </c>
      <c r="H60" s="22" t="s">
        <v>212</v>
      </c>
      <c r="I60" s="23" t="n">
        <v>45320</v>
      </c>
      <c r="J60" s="23" t="n">
        <v>45325</v>
      </c>
      <c r="K60" s="23"/>
      <c r="L60" s="0" t="n">
        <v>8000</v>
      </c>
      <c r="M60" s="0" t="n">
        <v>2966</v>
      </c>
      <c r="N60" s="0" t="n">
        <v>5</v>
      </c>
      <c r="O60" s="0" t="n">
        <v>0</v>
      </c>
      <c r="P60" s="22" t="s">
        <v>145</v>
      </c>
      <c r="Q60" s="22" t="s">
        <v>101</v>
      </c>
      <c r="R60" s="23" t="n">
        <v>45303</v>
      </c>
      <c r="S60" s="0" t="n">
        <v>300000</v>
      </c>
      <c r="T60" s="22" t="s">
        <v>80</v>
      </c>
      <c r="U60" s="22" t="s">
        <v>77</v>
      </c>
      <c r="V60" s="0" t="n">
        <v>200</v>
      </c>
      <c r="W60" s="0" t="n">
        <f aca="false">tbl_Tasks_Clean[[#This Row],[Actual_Cost]]-tbl_Tasks_Clean[[#This Row],[Planned_Cost]]</f>
        <v>-5034</v>
      </c>
      <c r="X60" s="22" t="n">
        <f aca="false">IFERROR(tbl_Tasks_Clean[[#This Row],[Actual_Cost]]/tbl_Tasks_Clean[[#This Row],[Planned_Cost]],0)</f>
        <v>0.37075</v>
      </c>
      <c r="Y60" s="22" t="str">
        <f aca="false">IF(AND(tbl_Tasks_Clean[[#This Row],[Status]]="Completed",tbl_Tasks_Clean[[#This Row],[Delay_Days]]&lt;=0),"On Time","Late")</f>
        <v>Late</v>
      </c>
      <c r="Z60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60" s="22" t="str">
        <f aca="false">INDEX(tbl_Projects[Project_Manager],MATCH(tbl_Tasks_Clean[[#This Row],[Project_ID]],tbl_Projects[Project_ID],0))</f>
        <v>Ahmed Nabil</v>
      </c>
      <c r="AB60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61" customFormat="false" ht="14.25" hidden="false" customHeight="false" outlineLevel="0" collapsed="false">
      <c r="A61" s="22" t="s">
        <v>466</v>
      </c>
      <c r="B61" s="22" t="s">
        <v>103</v>
      </c>
      <c r="C61" s="22" t="s">
        <v>104</v>
      </c>
      <c r="D61" s="22" t="s">
        <v>831</v>
      </c>
      <c r="E61" s="22" t="s">
        <v>44</v>
      </c>
      <c r="F61" s="22" t="s">
        <v>15</v>
      </c>
      <c r="G61" s="22" t="s">
        <v>206</v>
      </c>
      <c r="H61" s="22" t="s">
        <v>239</v>
      </c>
      <c r="I61" s="23" t="n">
        <v>45520</v>
      </c>
      <c r="J61" s="23" t="n">
        <v>45547</v>
      </c>
      <c r="K61" s="23" t="n">
        <v>45548</v>
      </c>
      <c r="L61" s="0" t="n">
        <v>1500</v>
      </c>
      <c r="M61" s="0" t="n">
        <v>1412</v>
      </c>
      <c r="N61" s="0" t="n">
        <v>27</v>
      </c>
      <c r="O61" s="0" t="n">
        <v>1</v>
      </c>
      <c r="P61" s="22" t="s">
        <v>105</v>
      </c>
      <c r="Q61" s="22" t="s">
        <v>106</v>
      </c>
      <c r="R61" s="23" t="n">
        <v>45465</v>
      </c>
      <c r="S61" s="0" t="n">
        <v>75000</v>
      </c>
      <c r="T61" s="22" t="s">
        <v>14</v>
      </c>
      <c r="U61" s="22" t="s">
        <v>16</v>
      </c>
      <c r="V61" s="0" t="n">
        <v>180</v>
      </c>
      <c r="W61" s="0" t="n">
        <f aca="false">tbl_Tasks_Clean[[#This Row],[Actual_Cost]]-tbl_Tasks_Clean[[#This Row],[Planned_Cost]]</f>
        <v>-88</v>
      </c>
      <c r="X61" s="22" t="n">
        <f aca="false">IFERROR(tbl_Tasks_Clean[[#This Row],[Actual_Cost]]/tbl_Tasks_Clean[[#This Row],[Planned_Cost]],0)</f>
        <v>0.941333333333333</v>
      </c>
      <c r="Y61" s="22" t="str">
        <f aca="false">IF(AND(tbl_Tasks_Clean[[#This Row],[Status]]="Completed",tbl_Tasks_Clean[[#This Row],[Delay_Days]]&lt;=0),"On Time","Late")</f>
        <v>Late</v>
      </c>
      <c r="Z61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61" s="22" t="str">
        <f aca="false">INDEX(tbl_Projects[Project_Manager],MATCH(tbl_Tasks_Clean[[#This Row],[Project_ID]],tbl_Projects[Project_ID],0))</f>
        <v>Laila Samir</v>
      </c>
      <c r="AB61" s="22" t="str">
        <f aca="false">IF(tbl_Tasks_Clean[[#This Row],[Delay_Days]]&gt;0,"Delayed by "&amp;TEXT(DATEDIF(tbl_Tasks_Clean[[#This Row],[Planned_End_Date]],tbl_Tasks_Clean[[#This Row],[Actual_End_Date]],"d"),"0")&amp;" days","No delay")</f>
        <v>Delayed by 1 days</v>
      </c>
    </row>
    <row r="62" customFormat="false" ht="14.25" hidden="false" customHeight="false" outlineLevel="0" collapsed="false">
      <c r="A62" s="22" t="s">
        <v>472</v>
      </c>
      <c r="B62" s="22" t="s">
        <v>143</v>
      </c>
      <c r="C62" s="22" t="s">
        <v>144</v>
      </c>
      <c r="D62" s="22" t="s">
        <v>473</v>
      </c>
      <c r="E62" s="22" t="s">
        <v>44</v>
      </c>
      <c r="F62" s="22" t="s">
        <v>29</v>
      </c>
      <c r="G62" s="22" t="s">
        <v>206</v>
      </c>
      <c r="H62" s="22" t="s">
        <v>194</v>
      </c>
      <c r="I62" s="23" t="n">
        <v>45453</v>
      </c>
      <c r="J62" s="23" t="n">
        <v>45481</v>
      </c>
      <c r="K62" s="23" t="n">
        <v>45496</v>
      </c>
      <c r="L62" s="0" t="n">
        <v>1500</v>
      </c>
      <c r="M62" s="0" t="n">
        <v>1497</v>
      </c>
      <c r="N62" s="0" t="n">
        <v>28</v>
      </c>
      <c r="O62" s="0" t="n">
        <v>15</v>
      </c>
      <c r="P62" s="22" t="s">
        <v>145</v>
      </c>
      <c r="Q62" s="22" t="s">
        <v>101</v>
      </c>
      <c r="R62" s="23" t="n">
        <v>45303</v>
      </c>
      <c r="S62" s="0" t="n">
        <v>300000</v>
      </c>
      <c r="T62" s="22" t="s">
        <v>28</v>
      </c>
      <c r="U62" s="22" t="s">
        <v>22</v>
      </c>
      <c r="V62" s="0" t="n">
        <v>200</v>
      </c>
      <c r="W62" s="0" t="n">
        <f aca="false">tbl_Tasks_Clean[[#This Row],[Actual_Cost]]-tbl_Tasks_Clean[[#This Row],[Planned_Cost]]</f>
        <v>-3</v>
      </c>
      <c r="X62" s="22" t="n">
        <f aca="false">IFERROR(tbl_Tasks_Clean[[#This Row],[Actual_Cost]]/tbl_Tasks_Clean[[#This Row],[Planned_Cost]],0)</f>
        <v>0.998</v>
      </c>
      <c r="Y62" s="22" t="str">
        <f aca="false">IF(AND(tbl_Tasks_Clean[[#This Row],[Status]]="Completed",tbl_Tasks_Clean[[#This Row],[Delay_Days]]&lt;=0),"On Time","Late")</f>
        <v>Late</v>
      </c>
      <c r="Z62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62" s="22" t="str">
        <f aca="false">INDEX(tbl_Projects[Project_Manager],MATCH(tbl_Tasks_Clean[[#This Row],[Project_ID]],tbl_Projects[Project_ID],0))</f>
        <v>Ahmed Nabil</v>
      </c>
      <c r="AB62" s="22" t="str">
        <f aca="false">IF(tbl_Tasks_Clean[[#This Row],[Delay_Days]]&gt;0,"Delayed by "&amp;TEXT(DATEDIF(tbl_Tasks_Clean[[#This Row],[Planned_End_Date]],tbl_Tasks_Clean[[#This Row],[Actual_End_Date]],"d"),"0")&amp;" days","No delay")</f>
        <v>Delayed by 15 days</v>
      </c>
    </row>
    <row r="63" customFormat="false" ht="14.25" hidden="false" customHeight="false" outlineLevel="0" collapsed="false">
      <c r="A63" s="22" t="s">
        <v>477</v>
      </c>
      <c r="B63" s="22" t="s">
        <v>147</v>
      </c>
      <c r="C63" s="22" t="s">
        <v>148</v>
      </c>
      <c r="D63" s="22" t="s">
        <v>478</v>
      </c>
      <c r="E63" s="22" t="s">
        <v>34</v>
      </c>
      <c r="F63" s="22" t="s">
        <v>75</v>
      </c>
      <c r="G63" s="22" t="s">
        <v>206</v>
      </c>
      <c r="H63" s="22" t="s">
        <v>239</v>
      </c>
      <c r="I63" s="23" t="n">
        <v>45434</v>
      </c>
      <c r="J63" s="23" t="n">
        <v>45461</v>
      </c>
      <c r="K63" s="23" t="n">
        <v>45462</v>
      </c>
      <c r="L63" s="0" t="n">
        <v>3000</v>
      </c>
      <c r="M63" s="0" t="n">
        <v>2936</v>
      </c>
      <c r="N63" s="0" t="n">
        <v>27</v>
      </c>
      <c r="O63" s="0" t="n">
        <v>1</v>
      </c>
      <c r="P63" s="22" t="s">
        <v>118</v>
      </c>
      <c r="Q63" s="22" t="s">
        <v>123</v>
      </c>
      <c r="R63" s="23" t="n">
        <v>45388</v>
      </c>
      <c r="S63" s="0" t="n">
        <v>75000</v>
      </c>
      <c r="T63" s="22" t="s">
        <v>74</v>
      </c>
      <c r="U63" s="22" t="s">
        <v>77</v>
      </c>
      <c r="V63" s="0" t="n">
        <v>250</v>
      </c>
      <c r="W63" s="0" t="n">
        <f aca="false">tbl_Tasks_Clean[[#This Row],[Actual_Cost]]-tbl_Tasks_Clean[[#This Row],[Planned_Cost]]</f>
        <v>-64</v>
      </c>
      <c r="X63" s="22" t="n">
        <f aca="false">IFERROR(tbl_Tasks_Clean[[#This Row],[Actual_Cost]]/tbl_Tasks_Clean[[#This Row],[Planned_Cost]],0)</f>
        <v>0.978666666666667</v>
      </c>
      <c r="Y63" s="22" t="str">
        <f aca="false">IF(AND(tbl_Tasks_Clean[[#This Row],[Status]]="Completed",tbl_Tasks_Clean[[#This Row],[Delay_Days]]&lt;=0),"On Time","Late")</f>
        <v>Late</v>
      </c>
      <c r="Z63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63" s="22" t="str">
        <f aca="false">INDEX(tbl_Projects[Project_Manager],MATCH(tbl_Tasks_Clean[[#This Row],[Project_ID]],tbl_Projects[Project_ID],0))</f>
        <v>Nourhan Tarek</v>
      </c>
      <c r="AB63" s="22" t="str">
        <f aca="false">IF(tbl_Tasks_Clean[[#This Row],[Delay_Days]]&gt;0,"Delayed by "&amp;TEXT(DATEDIF(tbl_Tasks_Clean[[#This Row],[Planned_End_Date]],tbl_Tasks_Clean[[#This Row],[Actual_End_Date]],"d"),"0")&amp;" days","No delay")</f>
        <v>Delayed by 1 days</v>
      </c>
    </row>
    <row r="64" customFormat="false" ht="14.25" hidden="false" customHeight="false" outlineLevel="0" collapsed="false">
      <c r="A64" s="22" t="s">
        <v>482</v>
      </c>
      <c r="B64" s="22" t="s">
        <v>140</v>
      </c>
      <c r="C64" s="22" t="s">
        <v>141</v>
      </c>
      <c r="D64" s="22" t="s">
        <v>1374</v>
      </c>
      <c r="E64" s="22" t="s">
        <v>76</v>
      </c>
      <c r="F64" s="22" t="s">
        <v>12</v>
      </c>
      <c r="G64" s="22" t="s">
        <v>175</v>
      </c>
      <c r="H64" s="22" t="s">
        <v>239</v>
      </c>
      <c r="I64" s="23" t="n">
        <v>45432</v>
      </c>
      <c r="J64" s="23" t="n">
        <v>45444</v>
      </c>
      <c r="K64" s="23" t="n">
        <v>45444</v>
      </c>
      <c r="L64" s="0" t="n">
        <v>2000</v>
      </c>
      <c r="M64" s="0" t="n">
        <v>2777</v>
      </c>
      <c r="N64" s="0" t="n">
        <v>12</v>
      </c>
      <c r="O64" s="0" t="n">
        <v>0</v>
      </c>
      <c r="P64" s="22" t="s">
        <v>118</v>
      </c>
      <c r="Q64" s="22" t="s">
        <v>123</v>
      </c>
      <c r="R64" s="23" t="n">
        <v>45383</v>
      </c>
      <c r="S64" s="0" t="n">
        <v>200000</v>
      </c>
      <c r="T64" s="22" t="s">
        <v>11</v>
      </c>
      <c r="U64" s="22" t="s">
        <v>13</v>
      </c>
      <c r="V64" s="0" t="n">
        <v>280</v>
      </c>
      <c r="W64" s="0" t="n">
        <f aca="false">tbl_Tasks_Clean[[#This Row],[Actual_Cost]]-tbl_Tasks_Clean[[#This Row],[Planned_Cost]]</f>
        <v>777</v>
      </c>
      <c r="X64" s="22" t="n">
        <f aca="false">IFERROR(tbl_Tasks_Clean[[#This Row],[Actual_Cost]]/tbl_Tasks_Clean[[#This Row],[Planned_Cost]],0)</f>
        <v>1.3885</v>
      </c>
      <c r="Y64" s="22" t="str">
        <f aca="false">IF(AND(tbl_Tasks_Clean[[#This Row],[Status]]="Completed",tbl_Tasks_Clean[[#This Row],[Delay_Days]]&lt;=0),"On Time","Late")</f>
        <v>On Time</v>
      </c>
      <c r="Z64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64" s="22" t="str">
        <f aca="false">INDEX(tbl_Projects[Project_Manager],MATCH(tbl_Tasks_Clean[[#This Row],[Project_ID]],tbl_Projects[Project_ID],0))</f>
        <v>Nourhan Tarek</v>
      </c>
      <c r="AB64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65" customFormat="false" ht="14.25" hidden="false" customHeight="false" outlineLevel="0" collapsed="false">
      <c r="A65" s="22" t="s">
        <v>485</v>
      </c>
      <c r="B65" s="22" t="s">
        <v>88</v>
      </c>
      <c r="C65" s="22" t="s">
        <v>89</v>
      </c>
      <c r="D65" s="22" t="s">
        <v>486</v>
      </c>
      <c r="E65" s="22" t="s">
        <v>54</v>
      </c>
      <c r="F65" s="22" t="s">
        <v>20</v>
      </c>
      <c r="G65" s="22" t="s">
        <v>275</v>
      </c>
      <c r="H65" s="22" t="s">
        <v>194</v>
      </c>
      <c r="I65" s="23" t="n">
        <v>45579</v>
      </c>
      <c r="J65" s="23" t="n">
        <v>45597</v>
      </c>
      <c r="K65" s="23" t="n">
        <v>45600</v>
      </c>
      <c r="L65" s="0" t="n">
        <v>5000</v>
      </c>
      <c r="M65" s="0" t="n">
        <v>6659</v>
      </c>
      <c r="N65" s="0" t="n">
        <v>18</v>
      </c>
      <c r="O65" s="0" t="n">
        <v>3</v>
      </c>
      <c r="P65" s="22" t="s">
        <v>90</v>
      </c>
      <c r="Q65" s="22" t="s">
        <v>91</v>
      </c>
      <c r="R65" s="23" t="n">
        <v>45455</v>
      </c>
      <c r="S65" s="0" t="n">
        <v>75000</v>
      </c>
      <c r="T65" s="22" t="s">
        <v>19</v>
      </c>
      <c r="U65" s="22" t="s">
        <v>22</v>
      </c>
      <c r="V65" s="0" t="n">
        <v>180</v>
      </c>
      <c r="W65" s="0" t="n">
        <f aca="false">tbl_Tasks_Clean[[#This Row],[Actual_Cost]]-tbl_Tasks_Clean[[#This Row],[Planned_Cost]]</f>
        <v>1659</v>
      </c>
      <c r="X65" s="22" t="n">
        <f aca="false">IFERROR(tbl_Tasks_Clean[[#This Row],[Actual_Cost]]/tbl_Tasks_Clean[[#This Row],[Planned_Cost]],0)</f>
        <v>1.3318</v>
      </c>
      <c r="Y65" s="22" t="str">
        <f aca="false">IF(AND(tbl_Tasks_Clean[[#This Row],[Status]]="Completed",tbl_Tasks_Clean[[#This Row],[Delay_Days]]&lt;=0),"On Time","Late")</f>
        <v>Late</v>
      </c>
      <c r="Z65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65" s="22" t="str">
        <f aca="false">INDEX(tbl_Projects[Project_Manager],MATCH(tbl_Tasks_Clean[[#This Row],[Project_ID]],tbl_Projects[Project_ID],0))</f>
        <v>Mona Farid</v>
      </c>
      <c r="AB65" s="22" t="str">
        <f aca="false">IF(tbl_Tasks_Clean[[#This Row],[Delay_Days]]&gt;0,"Delayed by "&amp;TEXT(DATEDIF(tbl_Tasks_Clean[[#This Row],[Planned_End_Date]],tbl_Tasks_Clean[[#This Row],[Actual_End_Date]],"d"),"0")&amp;" days","No delay")</f>
        <v>Delayed by 3 days</v>
      </c>
    </row>
    <row r="66" customFormat="false" ht="14.25" hidden="false" customHeight="false" outlineLevel="0" collapsed="false">
      <c r="A66" s="22" t="s">
        <v>490</v>
      </c>
      <c r="B66" s="22" t="s">
        <v>147</v>
      </c>
      <c r="C66" s="22" t="s">
        <v>148</v>
      </c>
      <c r="D66" s="22" t="s">
        <v>491</v>
      </c>
      <c r="E66" s="22" t="s">
        <v>34</v>
      </c>
      <c r="F66" s="22" t="s">
        <v>12</v>
      </c>
      <c r="G66" s="22" t="s">
        <v>175</v>
      </c>
      <c r="H66" s="22" t="s">
        <v>212</v>
      </c>
      <c r="I66" s="23" t="n">
        <v>45427</v>
      </c>
      <c r="J66" s="23" t="n">
        <v>45454</v>
      </c>
      <c r="K66" s="23"/>
      <c r="L66" s="0" t="n">
        <v>1500</v>
      </c>
      <c r="M66" s="0" t="n">
        <v>408</v>
      </c>
      <c r="N66" s="0" t="n">
        <v>27</v>
      </c>
      <c r="O66" s="0" t="n">
        <v>0</v>
      </c>
      <c r="P66" s="22" t="s">
        <v>118</v>
      </c>
      <c r="Q66" s="22" t="s">
        <v>123</v>
      </c>
      <c r="R66" s="23" t="n">
        <v>45388</v>
      </c>
      <c r="S66" s="0" t="n">
        <v>75000</v>
      </c>
      <c r="T66" s="22" t="s">
        <v>11</v>
      </c>
      <c r="U66" s="22" t="s">
        <v>13</v>
      </c>
      <c r="V66" s="0" t="n">
        <v>280</v>
      </c>
      <c r="W66" s="0" t="n">
        <f aca="false">tbl_Tasks_Clean[[#This Row],[Actual_Cost]]-tbl_Tasks_Clean[[#This Row],[Planned_Cost]]</f>
        <v>-1092</v>
      </c>
      <c r="X66" s="22" t="n">
        <f aca="false">IFERROR(tbl_Tasks_Clean[[#This Row],[Actual_Cost]]/tbl_Tasks_Clean[[#This Row],[Planned_Cost]],0)</f>
        <v>0.272</v>
      </c>
      <c r="Y66" s="22" t="str">
        <f aca="false">IF(AND(tbl_Tasks_Clean[[#This Row],[Status]]="Completed",tbl_Tasks_Clean[[#This Row],[Delay_Days]]&lt;=0),"On Time","Late")</f>
        <v>Late</v>
      </c>
      <c r="Z66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66" s="22" t="str">
        <f aca="false">INDEX(tbl_Projects[Project_Manager],MATCH(tbl_Tasks_Clean[[#This Row],[Project_ID]],tbl_Projects[Project_ID],0))</f>
        <v>Nourhan Tarek</v>
      </c>
      <c r="AB66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67" customFormat="false" ht="14.25" hidden="false" customHeight="false" outlineLevel="0" collapsed="false">
      <c r="A67" s="22" t="s">
        <v>497</v>
      </c>
      <c r="B67" s="22" t="s">
        <v>143</v>
      </c>
      <c r="C67" s="22" t="s">
        <v>144</v>
      </c>
      <c r="D67" s="22" t="s">
        <v>498</v>
      </c>
      <c r="E67" s="22" t="s">
        <v>34</v>
      </c>
      <c r="F67" s="22" t="s">
        <v>62</v>
      </c>
      <c r="G67" s="22" t="s">
        <v>275</v>
      </c>
      <c r="H67" s="22" t="s">
        <v>239</v>
      </c>
      <c r="I67" s="23" t="n">
        <v>45320</v>
      </c>
      <c r="J67" s="23" t="n">
        <v>45329</v>
      </c>
      <c r="K67" s="23" t="n">
        <v>45328</v>
      </c>
      <c r="L67" s="0" t="n">
        <v>6000</v>
      </c>
      <c r="M67" s="0" t="n">
        <v>6093</v>
      </c>
      <c r="N67" s="0" t="n">
        <v>9</v>
      </c>
      <c r="O67" s="0" t="n">
        <v>-1</v>
      </c>
      <c r="P67" s="22" t="s">
        <v>145</v>
      </c>
      <c r="Q67" s="22" t="s">
        <v>101</v>
      </c>
      <c r="R67" s="23" t="n">
        <v>45303</v>
      </c>
      <c r="S67" s="0" t="n">
        <v>300000</v>
      </c>
      <c r="T67" s="22" t="s">
        <v>61</v>
      </c>
      <c r="U67" s="22" t="s">
        <v>64</v>
      </c>
      <c r="V67" s="0" t="n">
        <v>150</v>
      </c>
      <c r="W67" s="0" t="n">
        <f aca="false">tbl_Tasks_Clean[[#This Row],[Actual_Cost]]-tbl_Tasks_Clean[[#This Row],[Planned_Cost]]</f>
        <v>93</v>
      </c>
      <c r="X67" s="22" t="n">
        <f aca="false">IFERROR(tbl_Tasks_Clean[[#This Row],[Actual_Cost]]/tbl_Tasks_Clean[[#This Row],[Planned_Cost]],0)</f>
        <v>1.0155</v>
      </c>
      <c r="Y67" s="22" t="str">
        <f aca="false">IF(AND(tbl_Tasks_Clean[[#This Row],[Status]]="Completed",tbl_Tasks_Clean[[#This Row],[Delay_Days]]&lt;=0),"On Time","Late")</f>
        <v>On Time</v>
      </c>
      <c r="Z67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67" s="22" t="str">
        <f aca="false">INDEX(tbl_Projects[Project_Manager],MATCH(tbl_Tasks_Clean[[#This Row],[Project_ID]],tbl_Projects[Project_ID],0))</f>
        <v>Ahmed Nabil</v>
      </c>
      <c r="AB67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68" customFormat="false" ht="14.25" hidden="false" customHeight="false" outlineLevel="0" collapsed="false">
      <c r="A68" s="22" t="s">
        <v>502</v>
      </c>
      <c r="B68" s="22" t="s">
        <v>140</v>
      </c>
      <c r="C68" s="22" t="s">
        <v>141</v>
      </c>
      <c r="D68" s="22" t="s">
        <v>503</v>
      </c>
      <c r="E68" s="22" t="s">
        <v>63</v>
      </c>
      <c r="F68" s="22" t="s">
        <v>10</v>
      </c>
      <c r="G68" s="22" t="s">
        <v>206</v>
      </c>
      <c r="H68" s="22" t="s">
        <v>239</v>
      </c>
      <c r="I68" s="23" t="n">
        <v>45512</v>
      </c>
      <c r="J68" s="23" t="n">
        <v>45519</v>
      </c>
      <c r="K68" s="23" t="n">
        <v>45519</v>
      </c>
      <c r="L68" s="0" t="n">
        <v>1000</v>
      </c>
      <c r="M68" s="0" t="n">
        <v>1071</v>
      </c>
      <c r="N68" s="0" t="n">
        <v>7</v>
      </c>
      <c r="O68" s="0" t="n">
        <v>0</v>
      </c>
      <c r="P68" s="22" t="s">
        <v>118</v>
      </c>
      <c r="Q68" s="22" t="s">
        <v>123</v>
      </c>
      <c r="R68" s="23" t="n">
        <v>45383</v>
      </c>
      <c r="S68" s="0" t="n">
        <v>200000</v>
      </c>
      <c r="T68" s="22" t="s">
        <v>9</v>
      </c>
      <c r="U68" s="22" t="s">
        <v>8</v>
      </c>
      <c r="V68" s="0" t="n">
        <v>220</v>
      </c>
      <c r="W68" s="0" t="n">
        <f aca="false">tbl_Tasks_Clean[[#This Row],[Actual_Cost]]-tbl_Tasks_Clean[[#This Row],[Planned_Cost]]</f>
        <v>71</v>
      </c>
      <c r="X68" s="22" t="n">
        <f aca="false">IFERROR(tbl_Tasks_Clean[[#This Row],[Actual_Cost]]/tbl_Tasks_Clean[[#This Row],[Planned_Cost]],0)</f>
        <v>1.071</v>
      </c>
      <c r="Y68" s="22" t="str">
        <f aca="false">IF(AND(tbl_Tasks_Clean[[#This Row],[Status]]="Completed",tbl_Tasks_Clean[[#This Row],[Delay_Days]]&lt;=0),"On Time","Late")</f>
        <v>On Time</v>
      </c>
      <c r="Z68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68" s="22" t="str">
        <f aca="false">INDEX(tbl_Projects[Project_Manager],MATCH(tbl_Tasks_Clean[[#This Row],[Project_ID]],tbl_Projects[Project_ID],0))</f>
        <v>Nourhan Tarek</v>
      </c>
      <c r="AB68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69" customFormat="false" ht="14.25" hidden="false" customHeight="false" outlineLevel="0" collapsed="false">
      <c r="A69" s="22" t="s">
        <v>506</v>
      </c>
      <c r="B69" s="22" t="s">
        <v>133</v>
      </c>
      <c r="C69" s="22" t="s">
        <v>134</v>
      </c>
      <c r="D69" s="22" t="s">
        <v>507</v>
      </c>
      <c r="E69" s="22" t="s">
        <v>34</v>
      </c>
      <c r="F69" s="22" t="s">
        <v>43</v>
      </c>
      <c r="G69" s="22" t="s">
        <v>275</v>
      </c>
      <c r="H69" s="22" t="s">
        <v>194</v>
      </c>
      <c r="I69" s="23" t="n">
        <v>45423</v>
      </c>
      <c r="J69" s="23" t="n">
        <v>45449</v>
      </c>
      <c r="K69" s="23" t="n">
        <v>45460</v>
      </c>
      <c r="L69" s="0" t="n">
        <v>4000</v>
      </c>
      <c r="M69" s="0" t="n">
        <v>3554</v>
      </c>
      <c r="N69" s="0" t="n">
        <v>26</v>
      </c>
      <c r="O69" s="0" t="n">
        <v>11</v>
      </c>
      <c r="P69" s="22" t="s">
        <v>135</v>
      </c>
      <c r="Q69" s="22" t="s">
        <v>101</v>
      </c>
      <c r="R69" s="23" t="n">
        <v>45347</v>
      </c>
      <c r="S69" s="0" t="n">
        <v>200000</v>
      </c>
      <c r="T69" s="22" t="s">
        <v>42</v>
      </c>
      <c r="U69" s="22" t="s">
        <v>45</v>
      </c>
      <c r="V69" s="0" t="n">
        <v>220</v>
      </c>
      <c r="W69" s="0" t="n">
        <f aca="false">tbl_Tasks_Clean[[#This Row],[Actual_Cost]]-tbl_Tasks_Clean[[#This Row],[Planned_Cost]]</f>
        <v>-446</v>
      </c>
      <c r="X69" s="22" t="n">
        <f aca="false">IFERROR(tbl_Tasks_Clean[[#This Row],[Actual_Cost]]/tbl_Tasks_Clean[[#This Row],[Planned_Cost]],0)</f>
        <v>0.8885</v>
      </c>
      <c r="Y69" s="22" t="str">
        <f aca="false">IF(AND(tbl_Tasks_Clean[[#This Row],[Status]]="Completed",tbl_Tasks_Clean[[#This Row],[Delay_Days]]&lt;=0),"On Time","Late")</f>
        <v>Late</v>
      </c>
      <c r="Z69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69" s="22" t="str">
        <f aca="false">INDEX(tbl_Projects[Project_Manager],MATCH(tbl_Tasks_Clean[[#This Row],[Project_ID]],tbl_Projects[Project_ID],0))</f>
        <v>Ahmed Nabil</v>
      </c>
      <c r="AB69" s="22" t="str">
        <f aca="false">IF(tbl_Tasks_Clean[[#This Row],[Delay_Days]]&gt;0,"Delayed by "&amp;TEXT(DATEDIF(tbl_Tasks_Clean[[#This Row],[Planned_End_Date]],tbl_Tasks_Clean[[#This Row],[Actual_End_Date]],"d"),"0")&amp;" days","No delay")</f>
        <v>Delayed by 11 days</v>
      </c>
    </row>
    <row r="70" customFormat="false" ht="14.25" hidden="false" customHeight="false" outlineLevel="0" collapsed="false">
      <c r="A70" s="22" t="s">
        <v>511</v>
      </c>
      <c r="B70" s="22" t="s">
        <v>129</v>
      </c>
      <c r="C70" s="22" t="s">
        <v>130</v>
      </c>
      <c r="D70" s="22" t="s">
        <v>1375</v>
      </c>
      <c r="E70" s="22" t="s">
        <v>54</v>
      </c>
      <c r="F70" s="22" t="s">
        <v>20</v>
      </c>
      <c r="G70" s="22" t="s">
        <v>206</v>
      </c>
      <c r="H70" s="22" t="s">
        <v>239</v>
      </c>
      <c r="I70" s="23" t="n">
        <v>45476</v>
      </c>
      <c r="J70" s="23" t="n">
        <v>45500</v>
      </c>
      <c r="K70" s="23" t="n">
        <v>45500</v>
      </c>
      <c r="L70" s="0" t="n">
        <v>2000</v>
      </c>
      <c r="M70" s="0" t="n">
        <v>1896</v>
      </c>
      <c r="N70" s="0" t="n">
        <v>24</v>
      </c>
      <c r="O70" s="0" t="n">
        <v>0</v>
      </c>
      <c r="P70" s="22" t="s">
        <v>118</v>
      </c>
      <c r="Q70" s="22" t="s">
        <v>131</v>
      </c>
      <c r="R70" s="23" t="n">
        <v>45379</v>
      </c>
      <c r="S70" s="0" t="n">
        <v>150000</v>
      </c>
      <c r="T70" s="22" t="s">
        <v>19</v>
      </c>
      <c r="U70" s="22" t="s">
        <v>22</v>
      </c>
      <c r="V70" s="0" t="n">
        <v>180</v>
      </c>
      <c r="W70" s="0" t="n">
        <f aca="false">tbl_Tasks_Clean[[#This Row],[Actual_Cost]]-tbl_Tasks_Clean[[#This Row],[Planned_Cost]]</f>
        <v>-104</v>
      </c>
      <c r="X70" s="22" t="n">
        <f aca="false">IFERROR(tbl_Tasks_Clean[[#This Row],[Actual_Cost]]/tbl_Tasks_Clean[[#This Row],[Planned_Cost]],0)</f>
        <v>0.948</v>
      </c>
      <c r="Y70" s="22" t="str">
        <f aca="false">IF(AND(tbl_Tasks_Clean[[#This Row],[Status]]="Completed",tbl_Tasks_Clean[[#This Row],[Delay_Days]]&lt;=0),"On Time","Late")</f>
        <v>On Time</v>
      </c>
      <c r="Z70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70" s="22" t="str">
        <f aca="false">INDEX(tbl_Projects[Project_Manager],MATCH(tbl_Tasks_Clean[[#This Row],[Project_ID]],tbl_Projects[Project_ID],0))</f>
        <v>Sara Hassan</v>
      </c>
      <c r="AB70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71" customFormat="false" ht="14.25" hidden="false" customHeight="false" outlineLevel="0" collapsed="false">
      <c r="A71" s="22" t="s">
        <v>515</v>
      </c>
      <c r="B71" s="22" t="s">
        <v>129</v>
      </c>
      <c r="C71" s="22" t="s">
        <v>130</v>
      </c>
      <c r="D71" s="22" t="s">
        <v>516</v>
      </c>
      <c r="E71" s="22" t="s">
        <v>76</v>
      </c>
      <c r="F71" s="22" t="s">
        <v>37</v>
      </c>
      <c r="G71" s="22" t="s">
        <v>175</v>
      </c>
      <c r="H71" s="22" t="s">
        <v>201</v>
      </c>
      <c r="I71" s="23" t="n">
        <v>45407</v>
      </c>
      <c r="J71" s="23" t="n">
        <v>45437</v>
      </c>
      <c r="K71" s="23"/>
      <c r="L71" s="0" t="n">
        <v>8000</v>
      </c>
      <c r="M71" s="0" t="n">
        <v>0</v>
      </c>
      <c r="N71" s="0" t="n">
        <v>30</v>
      </c>
      <c r="O71" s="0" t="n">
        <v>0</v>
      </c>
      <c r="P71" s="22" t="s">
        <v>118</v>
      </c>
      <c r="Q71" s="22" t="s">
        <v>131</v>
      </c>
      <c r="R71" s="23" t="n">
        <v>45379</v>
      </c>
      <c r="S71" s="0" t="n">
        <v>150000</v>
      </c>
      <c r="T71" s="22" t="s">
        <v>36</v>
      </c>
      <c r="U71" s="22" t="s">
        <v>38</v>
      </c>
      <c r="V71" s="0" t="n">
        <v>280</v>
      </c>
      <c r="W71" s="0" t="n">
        <f aca="false">tbl_Tasks_Clean[[#This Row],[Actual_Cost]]-tbl_Tasks_Clean[[#This Row],[Planned_Cost]]</f>
        <v>-8000</v>
      </c>
      <c r="X71" s="22" t="n">
        <f aca="false">IFERROR(tbl_Tasks_Clean[[#This Row],[Actual_Cost]]/tbl_Tasks_Clean[[#This Row],[Planned_Cost]],0)</f>
        <v>0</v>
      </c>
      <c r="Y71" s="22" t="str">
        <f aca="false">IF(AND(tbl_Tasks_Clean[[#This Row],[Status]]="Completed",tbl_Tasks_Clean[[#This Row],[Delay_Days]]&lt;=0),"On Time","Late")</f>
        <v>Late</v>
      </c>
      <c r="Z71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71" s="22" t="str">
        <f aca="false">INDEX(tbl_Projects[Project_Manager],MATCH(tbl_Tasks_Clean[[#This Row],[Project_ID]],tbl_Projects[Project_ID],0))</f>
        <v>Sara Hassan</v>
      </c>
      <c r="AB71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72" customFormat="false" ht="14.25" hidden="false" customHeight="false" outlineLevel="0" collapsed="false">
      <c r="A72" s="22" t="s">
        <v>520</v>
      </c>
      <c r="B72" s="22" t="s">
        <v>125</v>
      </c>
      <c r="C72" s="22" t="s">
        <v>126</v>
      </c>
      <c r="D72" s="22" t="s">
        <v>521</v>
      </c>
      <c r="E72" s="22" t="s">
        <v>21</v>
      </c>
      <c r="F72" s="22" t="s">
        <v>24</v>
      </c>
      <c r="G72" s="22" t="s">
        <v>206</v>
      </c>
      <c r="H72" s="22" t="s">
        <v>212</v>
      </c>
      <c r="I72" s="23" t="n">
        <v>45297</v>
      </c>
      <c r="J72" s="23" t="n">
        <v>45318</v>
      </c>
      <c r="K72" s="23"/>
      <c r="L72" s="0" t="n">
        <v>1500</v>
      </c>
      <c r="M72" s="0" t="n">
        <v>312</v>
      </c>
      <c r="N72" s="0" t="n">
        <v>21</v>
      </c>
      <c r="O72" s="0" t="n">
        <v>0</v>
      </c>
      <c r="P72" s="22" t="s">
        <v>127</v>
      </c>
      <c r="Q72" s="22" t="s">
        <v>106</v>
      </c>
      <c r="R72" s="23" t="n">
        <v>45293</v>
      </c>
      <c r="S72" s="0" t="n">
        <v>100000</v>
      </c>
      <c r="T72" s="22" t="s">
        <v>23</v>
      </c>
      <c r="U72" s="22" t="s">
        <v>22</v>
      </c>
      <c r="V72" s="0" t="n">
        <v>180</v>
      </c>
      <c r="W72" s="0" t="n">
        <f aca="false">tbl_Tasks_Clean[[#This Row],[Actual_Cost]]-tbl_Tasks_Clean[[#This Row],[Planned_Cost]]</f>
        <v>-1188</v>
      </c>
      <c r="X72" s="22" t="n">
        <f aca="false">IFERROR(tbl_Tasks_Clean[[#This Row],[Actual_Cost]]/tbl_Tasks_Clean[[#This Row],[Planned_Cost]],0)</f>
        <v>0.208</v>
      </c>
      <c r="Y72" s="22" t="str">
        <f aca="false">IF(AND(tbl_Tasks_Clean[[#This Row],[Status]]="Completed",tbl_Tasks_Clean[[#This Row],[Delay_Days]]&lt;=0),"On Time","Late")</f>
        <v>Late</v>
      </c>
      <c r="Z72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72" s="22" t="str">
        <f aca="false">INDEX(tbl_Projects[Project_Manager],MATCH(tbl_Tasks_Clean[[#This Row],[Project_ID]],tbl_Projects[Project_ID],0))</f>
        <v>Laila Samir</v>
      </c>
      <c r="AB72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73" customFormat="false" ht="14.25" hidden="false" customHeight="false" outlineLevel="0" collapsed="false">
      <c r="A73" s="22" t="s">
        <v>524</v>
      </c>
      <c r="B73" s="22" t="s">
        <v>98</v>
      </c>
      <c r="C73" s="22" t="s">
        <v>99</v>
      </c>
      <c r="D73" s="22" t="s">
        <v>525</v>
      </c>
      <c r="E73" s="22" t="s">
        <v>21</v>
      </c>
      <c r="F73" s="22" t="s">
        <v>50</v>
      </c>
      <c r="G73" s="22" t="s">
        <v>206</v>
      </c>
      <c r="H73" s="22" t="s">
        <v>239</v>
      </c>
      <c r="I73" s="23" t="n">
        <v>45498</v>
      </c>
      <c r="J73" s="23" t="n">
        <v>45514</v>
      </c>
      <c r="K73" s="23" t="n">
        <v>45516</v>
      </c>
      <c r="L73" s="0" t="n">
        <v>6000</v>
      </c>
      <c r="M73" s="0" t="n">
        <v>8270</v>
      </c>
      <c r="N73" s="0" t="n">
        <v>16</v>
      </c>
      <c r="O73" s="0" t="n">
        <v>2</v>
      </c>
      <c r="P73" s="22" t="s">
        <v>100</v>
      </c>
      <c r="Q73" s="22" t="s">
        <v>101</v>
      </c>
      <c r="R73" s="23" t="n">
        <v>45349</v>
      </c>
      <c r="S73" s="0" t="n">
        <v>100000</v>
      </c>
      <c r="T73" s="22" t="s">
        <v>49</v>
      </c>
      <c r="U73" s="22" t="s">
        <v>51</v>
      </c>
      <c r="V73" s="0" t="n">
        <v>300</v>
      </c>
      <c r="W73" s="0" t="n">
        <f aca="false">tbl_Tasks_Clean[[#This Row],[Actual_Cost]]-tbl_Tasks_Clean[[#This Row],[Planned_Cost]]</f>
        <v>2270</v>
      </c>
      <c r="X73" s="22" t="n">
        <f aca="false">IFERROR(tbl_Tasks_Clean[[#This Row],[Actual_Cost]]/tbl_Tasks_Clean[[#This Row],[Planned_Cost]],0)</f>
        <v>1.37833333333333</v>
      </c>
      <c r="Y73" s="22" t="str">
        <f aca="false">IF(AND(tbl_Tasks_Clean[[#This Row],[Status]]="Completed",tbl_Tasks_Clean[[#This Row],[Delay_Days]]&lt;=0),"On Time","Late")</f>
        <v>Late</v>
      </c>
      <c r="Z73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73" s="22" t="str">
        <f aca="false">INDEX(tbl_Projects[Project_Manager],MATCH(tbl_Tasks_Clean[[#This Row],[Project_ID]],tbl_Projects[Project_ID],0))</f>
        <v>Ahmed Nabil</v>
      </c>
      <c r="AB73" s="22" t="str">
        <f aca="false">IF(tbl_Tasks_Clean[[#This Row],[Delay_Days]]&gt;0,"Delayed by "&amp;TEXT(DATEDIF(tbl_Tasks_Clean[[#This Row],[Planned_End_Date]],tbl_Tasks_Clean[[#This Row],[Actual_End_Date]],"d"),"0")&amp;" days","No delay")</f>
        <v>Delayed by 2 days</v>
      </c>
    </row>
    <row r="74" customFormat="false" ht="14.25" hidden="false" customHeight="false" outlineLevel="0" collapsed="false">
      <c r="A74" s="22" t="s">
        <v>528</v>
      </c>
      <c r="B74" s="22" t="s">
        <v>133</v>
      </c>
      <c r="C74" s="22" t="s">
        <v>134</v>
      </c>
      <c r="D74" s="22" t="s">
        <v>529</v>
      </c>
      <c r="E74" s="22" t="s">
        <v>21</v>
      </c>
      <c r="F74" s="22" t="s">
        <v>66</v>
      </c>
      <c r="G74" s="22" t="s">
        <v>275</v>
      </c>
      <c r="H74" s="22" t="s">
        <v>239</v>
      </c>
      <c r="I74" s="23" t="n">
        <v>45367</v>
      </c>
      <c r="J74" s="23" t="n">
        <v>45391</v>
      </c>
      <c r="K74" s="23" t="n">
        <v>45391</v>
      </c>
      <c r="L74" s="0" t="n">
        <v>2500</v>
      </c>
      <c r="M74" s="0" t="n">
        <v>3495</v>
      </c>
      <c r="N74" s="0" t="n">
        <v>24</v>
      </c>
      <c r="O74" s="0" t="n">
        <v>0</v>
      </c>
      <c r="P74" s="22" t="s">
        <v>135</v>
      </c>
      <c r="Q74" s="22" t="s">
        <v>101</v>
      </c>
      <c r="R74" s="23" t="n">
        <v>45347</v>
      </c>
      <c r="S74" s="0" t="n">
        <v>200000</v>
      </c>
      <c r="T74" s="22" t="s">
        <v>65</v>
      </c>
      <c r="U74" s="22" t="s">
        <v>67</v>
      </c>
      <c r="V74" s="0" t="n">
        <v>250</v>
      </c>
      <c r="W74" s="0" t="n">
        <f aca="false">tbl_Tasks_Clean[[#This Row],[Actual_Cost]]-tbl_Tasks_Clean[[#This Row],[Planned_Cost]]</f>
        <v>995</v>
      </c>
      <c r="X74" s="22" t="n">
        <f aca="false">IFERROR(tbl_Tasks_Clean[[#This Row],[Actual_Cost]]/tbl_Tasks_Clean[[#This Row],[Planned_Cost]],0)</f>
        <v>1.398</v>
      </c>
      <c r="Y74" s="22" t="str">
        <f aca="false">IF(AND(tbl_Tasks_Clean[[#This Row],[Status]]="Completed",tbl_Tasks_Clean[[#This Row],[Delay_Days]]&lt;=0),"On Time","Late")</f>
        <v>On Time</v>
      </c>
      <c r="Z74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74" s="22" t="str">
        <f aca="false">INDEX(tbl_Projects[Project_Manager],MATCH(tbl_Tasks_Clean[[#This Row],[Project_ID]],tbl_Projects[Project_ID],0))</f>
        <v>Ahmed Nabil</v>
      </c>
      <c r="AB74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75" customFormat="false" ht="14.25" hidden="false" customHeight="false" outlineLevel="0" collapsed="false">
      <c r="A75" s="22" t="s">
        <v>532</v>
      </c>
      <c r="B75" s="22" t="s">
        <v>129</v>
      </c>
      <c r="C75" s="22" t="s">
        <v>130</v>
      </c>
      <c r="D75" s="22" t="s">
        <v>533</v>
      </c>
      <c r="E75" s="22" t="s">
        <v>54</v>
      </c>
      <c r="F75" s="22" t="s">
        <v>40</v>
      </c>
      <c r="G75" s="22" t="s">
        <v>275</v>
      </c>
      <c r="H75" s="22" t="s">
        <v>212</v>
      </c>
      <c r="I75" s="23" t="n">
        <v>45382</v>
      </c>
      <c r="J75" s="23" t="n">
        <v>45392</v>
      </c>
      <c r="K75" s="23"/>
      <c r="L75" s="0" t="n">
        <v>1000</v>
      </c>
      <c r="M75" s="0" t="n">
        <v>483</v>
      </c>
      <c r="N75" s="0" t="n">
        <v>10</v>
      </c>
      <c r="O75" s="0" t="n">
        <v>0</v>
      </c>
      <c r="P75" s="22" t="s">
        <v>118</v>
      </c>
      <c r="Q75" s="22" t="s">
        <v>131</v>
      </c>
      <c r="R75" s="23" t="n">
        <v>45379</v>
      </c>
      <c r="S75" s="0" t="n">
        <v>150000</v>
      </c>
      <c r="T75" s="22" t="s">
        <v>39</v>
      </c>
      <c r="U75" s="22" t="s">
        <v>41</v>
      </c>
      <c r="V75" s="0" t="n">
        <v>220</v>
      </c>
      <c r="W75" s="0" t="n">
        <f aca="false">tbl_Tasks_Clean[[#This Row],[Actual_Cost]]-tbl_Tasks_Clean[[#This Row],[Planned_Cost]]</f>
        <v>-517</v>
      </c>
      <c r="X75" s="22" t="n">
        <f aca="false">IFERROR(tbl_Tasks_Clean[[#This Row],[Actual_Cost]]/tbl_Tasks_Clean[[#This Row],[Planned_Cost]],0)</f>
        <v>0.483</v>
      </c>
      <c r="Y75" s="22" t="str">
        <f aca="false">IF(AND(tbl_Tasks_Clean[[#This Row],[Status]]="Completed",tbl_Tasks_Clean[[#This Row],[Delay_Days]]&lt;=0),"On Time","Late")</f>
        <v>Late</v>
      </c>
      <c r="Z75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75" s="22" t="str">
        <f aca="false">INDEX(tbl_Projects[Project_Manager],MATCH(tbl_Tasks_Clean[[#This Row],[Project_ID]],tbl_Projects[Project_ID],0))</f>
        <v>Sara Hassan</v>
      </c>
      <c r="AB75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76" customFormat="false" ht="14.25" hidden="false" customHeight="false" outlineLevel="0" collapsed="false">
      <c r="A76" s="22" t="s">
        <v>536</v>
      </c>
      <c r="B76" s="22" t="s">
        <v>147</v>
      </c>
      <c r="C76" s="22" t="s">
        <v>148</v>
      </c>
      <c r="D76" s="22" t="s">
        <v>537</v>
      </c>
      <c r="E76" s="22" t="s">
        <v>34</v>
      </c>
      <c r="F76" s="22" t="s">
        <v>73</v>
      </c>
      <c r="G76" s="22" t="s">
        <v>206</v>
      </c>
      <c r="H76" s="22" t="s">
        <v>239</v>
      </c>
      <c r="I76" s="23" t="n">
        <v>45478</v>
      </c>
      <c r="J76" s="23" t="n">
        <v>45487</v>
      </c>
      <c r="K76" s="23" t="n">
        <v>45488</v>
      </c>
      <c r="L76" s="0" t="n">
        <v>3000</v>
      </c>
      <c r="M76" s="0" t="n">
        <v>2484</v>
      </c>
      <c r="N76" s="0" t="n">
        <v>9</v>
      </c>
      <c r="O76" s="0" t="n">
        <v>1</v>
      </c>
      <c r="P76" s="22" t="s">
        <v>118</v>
      </c>
      <c r="Q76" s="22" t="s">
        <v>123</v>
      </c>
      <c r="R76" s="23" t="n">
        <v>45388</v>
      </c>
      <c r="S76" s="0" t="n">
        <v>75000</v>
      </c>
      <c r="T76" s="22" t="s">
        <v>72</v>
      </c>
      <c r="U76" s="22" t="s">
        <v>67</v>
      </c>
      <c r="V76" s="0" t="n">
        <v>200</v>
      </c>
      <c r="W76" s="0" t="n">
        <f aca="false">tbl_Tasks_Clean[[#This Row],[Actual_Cost]]-tbl_Tasks_Clean[[#This Row],[Planned_Cost]]</f>
        <v>-516</v>
      </c>
      <c r="X76" s="22" t="n">
        <f aca="false">IFERROR(tbl_Tasks_Clean[[#This Row],[Actual_Cost]]/tbl_Tasks_Clean[[#This Row],[Planned_Cost]],0)</f>
        <v>0.828</v>
      </c>
      <c r="Y76" s="22" t="str">
        <f aca="false">IF(AND(tbl_Tasks_Clean[[#This Row],[Status]]="Completed",tbl_Tasks_Clean[[#This Row],[Delay_Days]]&lt;=0),"On Time","Late")</f>
        <v>Late</v>
      </c>
      <c r="Z76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76" s="22" t="str">
        <f aca="false">INDEX(tbl_Projects[Project_Manager],MATCH(tbl_Tasks_Clean[[#This Row],[Project_ID]],tbl_Projects[Project_ID],0))</f>
        <v>Nourhan Tarek</v>
      </c>
      <c r="AB76" s="22" t="str">
        <f aca="false">IF(tbl_Tasks_Clean[[#This Row],[Delay_Days]]&gt;0,"Delayed by "&amp;TEXT(DATEDIF(tbl_Tasks_Clean[[#This Row],[Planned_End_Date]],tbl_Tasks_Clean[[#This Row],[Actual_End_Date]],"d"),"0")&amp;" days","No delay")</f>
        <v>Delayed by 1 days</v>
      </c>
    </row>
    <row r="77" customFormat="false" ht="14.25" hidden="false" customHeight="false" outlineLevel="0" collapsed="false">
      <c r="A77" s="22" t="s">
        <v>541</v>
      </c>
      <c r="B77" s="22" t="s">
        <v>120</v>
      </c>
      <c r="C77" s="22" t="s">
        <v>121</v>
      </c>
      <c r="D77" s="22" t="s">
        <v>542</v>
      </c>
      <c r="E77" s="22" t="s">
        <v>44</v>
      </c>
      <c r="F77" s="22" t="s">
        <v>62</v>
      </c>
      <c r="G77" s="22" t="s">
        <v>206</v>
      </c>
      <c r="H77" s="22" t="s">
        <v>239</v>
      </c>
      <c r="I77" s="23" t="n">
        <v>45354</v>
      </c>
      <c r="J77" s="23" t="n">
        <v>45359</v>
      </c>
      <c r="K77" s="23" t="n">
        <v>45358</v>
      </c>
      <c r="L77" s="0" t="n">
        <v>8000</v>
      </c>
      <c r="M77" s="0" t="n">
        <v>6121</v>
      </c>
      <c r="N77" s="0" t="n">
        <v>5</v>
      </c>
      <c r="O77" s="0" t="n">
        <v>-1</v>
      </c>
      <c r="P77" s="22" t="s">
        <v>122</v>
      </c>
      <c r="Q77" s="22" t="s">
        <v>123</v>
      </c>
      <c r="R77" s="23" t="n">
        <v>45348</v>
      </c>
      <c r="S77" s="0" t="n">
        <v>300000</v>
      </c>
      <c r="T77" s="22" t="s">
        <v>61</v>
      </c>
      <c r="U77" s="22" t="s">
        <v>64</v>
      </c>
      <c r="V77" s="0" t="n">
        <v>150</v>
      </c>
      <c r="W77" s="0" t="n">
        <f aca="false">tbl_Tasks_Clean[[#This Row],[Actual_Cost]]-tbl_Tasks_Clean[[#This Row],[Planned_Cost]]</f>
        <v>-1879</v>
      </c>
      <c r="X77" s="22" t="n">
        <f aca="false">IFERROR(tbl_Tasks_Clean[[#This Row],[Actual_Cost]]/tbl_Tasks_Clean[[#This Row],[Planned_Cost]],0)</f>
        <v>0.765125</v>
      </c>
      <c r="Y77" s="22" t="str">
        <f aca="false">IF(AND(tbl_Tasks_Clean[[#This Row],[Status]]="Completed",tbl_Tasks_Clean[[#This Row],[Delay_Days]]&lt;=0),"On Time","Late")</f>
        <v>On Time</v>
      </c>
      <c r="Z77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77" s="22" t="str">
        <f aca="false">INDEX(tbl_Projects[Project_Manager],MATCH(tbl_Tasks_Clean[[#This Row],[Project_ID]],tbl_Projects[Project_ID],0))</f>
        <v>Nourhan Tarek</v>
      </c>
      <c r="AB77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78" customFormat="false" ht="14.25" hidden="false" customHeight="false" outlineLevel="0" collapsed="false">
      <c r="A78" s="22" t="s">
        <v>546</v>
      </c>
      <c r="B78" s="22" t="s">
        <v>112</v>
      </c>
      <c r="C78" s="22" t="s">
        <v>113</v>
      </c>
      <c r="D78" s="22" t="s">
        <v>547</v>
      </c>
      <c r="E78" s="22" t="s">
        <v>63</v>
      </c>
      <c r="F78" s="22" t="s">
        <v>6</v>
      </c>
      <c r="G78" s="22" t="s">
        <v>275</v>
      </c>
      <c r="H78" s="22" t="s">
        <v>239</v>
      </c>
      <c r="I78" s="23" t="n">
        <v>45433</v>
      </c>
      <c r="J78" s="23" t="n">
        <v>45462</v>
      </c>
      <c r="K78" s="23" t="n">
        <v>45463</v>
      </c>
      <c r="L78" s="0" t="n">
        <v>1000</v>
      </c>
      <c r="M78" s="0" t="n">
        <v>1278</v>
      </c>
      <c r="N78" s="0" t="n">
        <v>29</v>
      </c>
      <c r="O78" s="0" t="n">
        <v>1</v>
      </c>
      <c r="P78" s="22" t="s">
        <v>114</v>
      </c>
      <c r="Q78" s="22" t="s">
        <v>91</v>
      </c>
      <c r="R78" s="23" t="n">
        <v>45347</v>
      </c>
      <c r="S78" s="0" t="n">
        <v>120000</v>
      </c>
      <c r="T78" s="22" t="s">
        <v>5</v>
      </c>
      <c r="U78" s="22" t="s">
        <v>8</v>
      </c>
      <c r="V78" s="0" t="n">
        <v>150</v>
      </c>
      <c r="W78" s="0" t="n">
        <f aca="false">tbl_Tasks_Clean[[#This Row],[Actual_Cost]]-tbl_Tasks_Clean[[#This Row],[Planned_Cost]]</f>
        <v>278</v>
      </c>
      <c r="X78" s="22" t="n">
        <f aca="false">IFERROR(tbl_Tasks_Clean[[#This Row],[Actual_Cost]]/tbl_Tasks_Clean[[#This Row],[Planned_Cost]],0)</f>
        <v>1.278</v>
      </c>
      <c r="Y78" s="22" t="str">
        <f aca="false">IF(AND(tbl_Tasks_Clean[[#This Row],[Status]]="Completed",tbl_Tasks_Clean[[#This Row],[Delay_Days]]&lt;=0),"On Time","Late")</f>
        <v>Late</v>
      </c>
      <c r="Z78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78" s="22" t="str">
        <f aca="false">INDEX(tbl_Projects[Project_Manager],MATCH(tbl_Tasks_Clean[[#This Row],[Project_ID]],tbl_Projects[Project_ID],0))</f>
        <v>Mona Farid</v>
      </c>
      <c r="AB78" s="22" t="str">
        <f aca="false">IF(tbl_Tasks_Clean[[#This Row],[Delay_Days]]&gt;0,"Delayed by "&amp;TEXT(DATEDIF(tbl_Tasks_Clean[[#This Row],[Planned_End_Date]],tbl_Tasks_Clean[[#This Row],[Actual_End_Date]],"d"),"0")&amp;" days","No delay")</f>
        <v>Delayed by 1 days</v>
      </c>
    </row>
    <row r="79" customFormat="false" ht="14.25" hidden="false" customHeight="false" outlineLevel="0" collapsed="false">
      <c r="A79" s="22" t="s">
        <v>549</v>
      </c>
      <c r="B79" s="22" t="s">
        <v>143</v>
      </c>
      <c r="C79" s="22" t="s">
        <v>144</v>
      </c>
      <c r="D79" s="22" t="s">
        <v>550</v>
      </c>
      <c r="E79" s="22" t="s">
        <v>54</v>
      </c>
      <c r="F79" s="22" t="s">
        <v>53</v>
      </c>
      <c r="G79" s="22" t="s">
        <v>275</v>
      </c>
      <c r="H79" s="22" t="s">
        <v>194</v>
      </c>
      <c r="I79" s="23" t="n">
        <v>45339</v>
      </c>
      <c r="J79" s="23" t="n">
        <v>45367</v>
      </c>
      <c r="K79" s="23" t="n">
        <v>45382</v>
      </c>
      <c r="L79" s="0" t="n">
        <v>2000</v>
      </c>
      <c r="M79" s="0" t="n">
        <v>2272</v>
      </c>
      <c r="N79" s="0" t="n">
        <v>28</v>
      </c>
      <c r="O79" s="0" t="n">
        <v>15</v>
      </c>
      <c r="P79" s="22" t="s">
        <v>145</v>
      </c>
      <c r="Q79" s="22" t="s">
        <v>101</v>
      </c>
      <c r="R79" s="23" t="n">
        <v>45303</v>
      </c>
      <c r="S79" s="0" t="n">
        <v>300000</v>
      </c>
      <c r="T79" s="22" t="s">
        <v>52</v>
      </c>
      <c r="U79" s="22" t="s">
        <v>55</v>
      </c>
      <c r="V79" s="0" t="n">
        <v>180</v>
      </c>
      <c r="W79" s="0" t="n">
        <f aca="false">tbl_Tasks_Clean[[#This Row],[Actual_Cost]]-tbl_Tasks_Clean[[#This Row],[Planned_Cost]]</f>
        <v>272</v>
      </c>
      <c r="X79" s="22" t="n">
        <f aca="false">IFERROR(tbl_Tasks_Clean[[#This Row],[Actual_Cost]]/tbl_Tasks_Clean[[#This Row],[Planned_Cost]],0)</f>
        <v>1.136</v>
      </c>
      <c r="Y79" s="22" t="str">
        <f aca="false">IF(AND(tbl_Tasks_Clean[[#This Row],[Status]]="Completed",tbl_Tasks_Clean[[#This Row],[Delay_Days]]&lt;=0),"On Time","Late")</f>
        <v>Late</v>
      </c>
      <c r="Z79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79" s="22" t="str">
        <f aca="false">INDEX(tbl_Projects[Project_Manager],MATCH(tbl_Tasks_Clean[[#This Row],[Project_ID]],tbl_Projects[Project_ID],0))</f>
        <v>Ahmed Nabil</v>
      </c>
      <c r="AB79" s="22" t="str">
        <f aca="false">IF(tbl_Tasks_Clean[[#This Row],[Delay_Days]]&gt;0,"Delayed by "&amp;TEXT(DATEDIF(tbl_Tasks_Clean[[#This Row],[Planned_End_Date]],tbl_Tasks_Clean[[#This Row],[Actual_End_Date]],"d"),"0")&amp;" days","No delay")</f>
        <v>Delayed by 15 days</v>
      </c>
    </row>
    <row r="80" customFormat="false" ht="14.25" hidden="false" customHeight="false" outlineLevel="0" collapsed="false">
      <c r="A80" s="22" t="s">
        <v>554</v>
      </c>
      <c r="B80" s="22" t="s">
        <v>116</v>
      </c>
      <c r="C80" s="22" t="s">
        <v>117</v>
      </c>
      <c r="D80" s="22" t="s">
        <v>555</v>
      </c>
      <c r="E80" s="22" t="s">
        <v>21</v>
      </c>
      <c r="F80" s="22" t="s">
        <v>33</v>
      </c>
      <c r="G80" s="22" t="s">
        <v>175</v>
      </c>
      <c r="H80" s="22" t="s">
        <v>201</v>
      </c>
      <c r="I80" s="23" t="n">
        <v>45510</v>
      </c>
      <c r="J80" s="23" t="n">
        <v>45517</v>
      </c>
      <c r="K80" s="23"/>
      <c r="L80" s="0" t="n">
        <v>2500</v>
      </c>
      <c r="M80" s="0" t="n">
        <v>0</v>
      </c>
      <c r="N80" s="0" t="n">
        <v>7</v>
      </c>
      <c r="O80" s="0" t="n">
        <v>0</v>
      </c>
      <c r="P80" s="22" t="s">
        <v>118</v>
      </c>
      <c r="Q80" s="22" t="s">
        <v>106</v>
      </c>
      <c r="R80" s="23" t="n">
        <v>45435</v>
      </c>
      <c r="S80" s="0" t="n">
        <v>120000</v>
      </c>
      <c r="T80" s="22" t="s">
        <v>32</v>
      </c>
      <c r="U80" s="22" t="s">
        <v>35</v>
      </c>
      <c r="V80" s="0" t="n">
        <v>250</v>
      </c>
      <c r="W80" s="0" t="n">
        <f aca="false">tbl_Tasks_Clean[[#This Row],[Actual_Cost]]-tbl_Tasks_Clean[[#This Row],[Planned_Cost]]</f>
        <v>-2500</v>
      </c>
      <c r="X80" s="22" t="n">
        <f aca="false">IFERROR(tbl_Tasks_Clean[[#This Row],[Actual_Cost]]/tbl_Tasks_Clean[[#This Row],[Planned_Cost]],0)</f>
        <v>0</v>
      </c>
      <c r="Y80" s="22" t="str">
        <f aca="false">IF(AND(tbl_Tasks_Clean[[#This Row],[Status]]="Completed",tbl_Tasks_Clean[[#This Row],[Delay_Days]]&lt;=0),"On Time","Late")</f>
        <v>Late</v>
      </c>
      <c r="Z80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80" s="22" t="str">
        <f aca="false">INDEX(tbl_Projects[Project_Manager],MATCH(tbl_Tasks_Clean[[#This Row],[Project_ID]],tbl_Projects[Project_ID],0))</f>
        <v>Laila Samir</v>
      </c>
      <c r="AB80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81" customFormat="false" ht="14.25" hidden="false" customHeight="false" outlineLevel="0" collapsed="false">
      <c r="A81" s="22" t="s">
        <v>558</v>
      </c>
      <c r="B81" s="22" t="s">
        <v>103</v>
      </c>
      <c r="C81" s="22" t="s">
        <v>104</v>
      </c>
      <c r="D81" s="22" t="s">
        <v>559</v>
      </c>
      <c r="E81" s="22" t="s">
        <v>44</v>
      </c>
      <c r="F81" s="22" t="s">
        <v>15</v>
      </c>
      <c r="G81" s="22" t="s">
        <v>275</v>
      </c>
      <c r="H81" s="22" t="s">
        <v>201</v>
      </c>
      <c r="I81" s="23" t="n">
        <v>45530</v>
      </c>
      <c r="J81" s="23" t="n">
        <v>45542</v>
      </c>
      <c r="K81" s="23"/>
      <c r="L81" s="0" t="n">
        <v>4000</v>
      </c>
      <c r="M81" s="0" t="n">
        <v>0</v>
      </c>
      <c r="N81" s="0" t="n">
        <v>12</v>
      </c>
      <c r="O81" s="0" t="n">
        <v>0</v>
      </c>
      <c r="P81" s="22" t="s">
        <v>105</v>
      </c>
      <c r="Q81" s="22" t="s">
        <v>106</v>
      </c>
      <c r="R81" s="23" t="n">
        <v>45465</v>
      </c>
      <c r="S81" s="0" t="n">
        <v>75000</v>
      </c>
      <c r="T81" s="22" t="s">
        <v>14</v>
      </c>
      <c r="U81" s="22" t="s">
        <v>16</v>
      </c>
      <c r="V81" s="0" t="n">
        <v>180</v>
      </c>
      <c r="W81" s="0" t="n">
        <f aca="false">tbl_Tasks_Clean[[#This Row],[Actual_Cost]]-tbl_Tasks_Clean[[#This Row],[Planned_Cost]]</f>
        <v>-4000</v>
      </c>
      <c r="X81" s="22" t="n">
        <f aca="false">IFERROR(tbl_Tasks_Clean[[#This Row],[Actual_Cost]]/tbl_Tasks_Clean[[#This Row],[Planned_Cost]],0)</f>
        <v>0</v>
      </c>
      <c r="Y81" s="22" t="str">
        <f aca="false">IF(AND(tbl_Tasks_Clean[[#This Row],[Status]]="Completed",tbl_Tasks_Clean[[#This Row],[Delay_Days]]&lt;=0),"On Time","Late")</f>
        <v>Late</v>
      </c>
      <c r="Z81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81" s="22" t="str">
        <f aca="false">INDEX(tbl_Projects[Project_Manager],MATCH(tbl_Tasks_Clean[[#This Row],[Project_ID]],tbl_Projects[Project_ID],0))</f>
        <v>Laila Samir</v>
      </c>
      <c r="AB81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82" customFormat="false" ht="14.25" hidden="false" customHeight="false" outlineLevel="0" collapsed="false">
      <c r="A82" s="22" t="s">
        <v>562</v>
      </c>
      <c r="B82" s="22" t="s">
        <v>112</v>
      </c>
      <c r="C82" s="22" t="s">
        <v>113</v>
      </c>
      <c r="D82" s="22" t="s">
        <v>563</v>
      </c>
      <c r="E82" s="22" t="s">
        <v>54</v>
      </c>
      <c r="F82" s="22" t="s">
        <v>26</v>
      </c>
      <c r="G82" s="22" t="s">
        <v>175</v>
      </c>
      <c r="H82" s="22" t="s">
        <v>201</v>
      </c>
      <c r="I82" s="23" t="n">
        <v>45409</v>
      </c>
      <c r="J82" s="23" t="n">
        <v>45413</v>
      </c>
      <c r="K82" s="23"/>
      <c r="L82" s="0" t="n">
        <v>8000</v>
      </c>
      <c r="M82" s="0" t="n">
        <v>0</v>
      </c>
      <c r="N82" s="0" t="n">
        <v>4</v>
      </c>
      <c r="O82" s="0" t="n">
        <v>0</v>
      </c>
      <c r="P82" s="22" t="s">
        <v>114</v>
      </c>
      <c r="Q82" s="22" t="s">
        <v>91</v>
      </c>
      <c r="R82" s="23" t="n">
        <v>45347</v>
      </c>
      <c r="S82" s="0" t="n">
        <v>120000</v>
      </c>
      <c r="T82" s="22" t="s">
        <v>25</v>
      </c>
      <c r="U82" s="22" t="s">
        <v>27</v>
      </c>
      <c r="V82" s="0" t="n">
        <v>200</v>
      </c>
      <c r="W82" s="0" t="n">
        <f aca="false">tbl_Tasks_Clean[[#This Row],[Actual_Cost]]-tbl_Tasks_Clean[[#This Row],[Planned_Cost]]</f>
        <v>-8000</v>
      </c>
      <c r="X82" s="22" t="n">
        <f aca="false">IFERROR(tbl_Tasks_Clean[[#This Row],[Actual_Cost]]/tbl_Tasks_Clean[[#This Row],[Planned_Cost]],0)</f>
        <v>0</v>
      </c>
      <c r="Y82" s="22" t="str">
        <f aca="false">IF(AND(tbl_Tasks_Clean[[#This Row],[Status]]="Completed",tbl_Tasks_Clean[[#This Row],[Delay_Days]]&lt;=0),"On Time","Late")</f>
        <v>Late</v>
      </c>
      <c r="Z82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82" s="22" t="str">
        <f aca="false">INDEX(tbl_Projects[Project_Manager],MATCH(tbl_Tasks_Clean[[#This Row],[Project_ID]],tbl_Projects[Project_ID],0))</f>
        <v>Mona Farid</v>
      </c>
      <c r="AB82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83" customFormat="false" ht="14.25" hidden="false" customHeight="false" outlineLevel="0" collapsed="false">
      <c r="A83" s="22" t="s">
        <v>565</v>
      </c>
      <c r="B83" s="22" t="s">
        <v>143</v>
      </c>
      <c r="C83" s="22" t="s">
        <v>144</v>
      </c>
      <c r="D83" s="22" t="s">
        <v>566</v>
      </c>
      <c r="E83" s="22" t="s">
        <v>44</v>
      </c>
      <c r="F83" s="22" t="s">
        <v>71</v>
      </c>
      <c r="G83" s="22" t="s">
        <v>175</v>
      </c>
      <c r="H83" s="22" t="s">
        <v>212</v>
      </c>
      <c r="I83" s="23" t="n">
        <v>45436</v>
      </c>
      <c r="J83" s="23" t="n">
        <v>45439</v>
      </c>
      <c r="K83" s="23"/>
      <c r="L83" s="0" t="n">
        <v>5000</v>
      </c>
      <c r="M83" s="0" t="n">
        <v>2964</v>
      </c>
      <c r="N83" s="0" t="n">
        <v>3</v>
      </c>
      <c r="O83" s="0" t="n">
        <v>0</v>
      </c>
      <c r="P83" s="22" t="s">
        <v>145</v>
      </c>
      <c r="Q83" s="22" t="s">
        <v>101</v>
      </c>
      <c r="R83" s="23" t="n">
        <v>45303</v>
      </c>
      <c r="S83" s="0" t="n">
        <v>300000</v>
      </c>
      <c r="T83" s="22" t="s">
        <v>70</v>
      </c>
      <c r="U83" s="22" t="s">
        <v>67</v>
      </c>
      <c r="V83" s="0" t="n">
        <v>180</v>
      </c>
      <c r="W83" s="0" t="n">
        <f aca="false">tbl_Tasks_Clean[[#This Row],[Actual_Cost]]-tbl_Tasks_Clean[[#This Row],[Planned_Cost]]</f>
        <v>-2036</v>
      </c>
      <c r="X83" s="22" t="n">
        <f aca="false">IFERROR(tbl_Tasks_Clean[[#This Row],[Actual_Cost]]/tbl_Tasks_Clean[[#This Row],[Planned_Cost]],0)</f>
        <v>0.5928</v>
      </c>
      <c r="Y83" s="22" t="str">
        <f aca="false">IF(AND(tbl_Tasks_Clean[[#This Row],[Status]]="Completed",tbl_Tasks_Clean[[#This Row],[Delay_Days]]&lt;=0),"On Time","Late")</f>
        <v>Late</v>
      </c>
      <c r="Z83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83" s="22" t="str">
        <f aca="false">INDEX(tbl_Projects[Project_Manager],MATCH(tbl_Tasks_Clean[[#This Row],[Project_ID]],tbl_Projects[Project_ID],0))</f>
        <v>Ahmed Nabil</v>
      </c>
      <c r="AB83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84" customFormat="false" ht="14.25" hidden="false" customHeight="false" outlineLevel="0" collapsed="false">
      <c r="A84" s="22" t="s">
        <v>572</v>
      </c>
      <c r="B84" s="22" t="s">
        <v>93</v>
      </c>
      <c r="C84" s="22" t="s">
        <v>94</v>
      </c>
      <c r="D84" s="22" t="s">
        <v>573</v>
      </c>
      <c r="E84" s="22" t="s">
        <v>7</v>
      </c>
      <c r="F84" s="22" t="s">
        <v>43</v>
      </c>
      <c r="G84" s="22" t="s">
        <v>175</v>
      </c>
      <c r="H84" s="22" t="s">
        <v>201</v>
      </c>
      <c r="I84" s="23" t="n">
        <v>45594</v>
      </c>
      <c r="J84" s="23" t="n">
        <v>45616</v>
      </c>
      <c r="K84" s="23"/>
      <c r="L84" s="0" t="n">
        <v>8000</v>
      </c>
      <c r="M84" s="0" t="n">
        <v>0</v>
      </c>
      <c r="N84" s="0" t="n">
        <v>22</v>
      </c>
      <c r="O84" s="0" t="n">
        <v>0</v>
      </c>
      <c r="P84" s="22" t="s">
        <v>95</v>
      </c>
      <c r="Q84" s="22" t="s">
        <v>96</v>
      </c>
      <c r="R84" s="23" t="n">
        <v>45481</v>
      </c>
      <c r="S84" s="0" t="n">
        <v>150000</v>
      </c>
      <c r="T84" s="22" t="s">
        <v>42</v>
      </c>
      <c r="U84" s="22" t="s">
        <v>45</v>
      </c>
      <c r="V84" s="0" t="n">
        <v>220</v>
      </c>
      <c r="W84" s="0" t="n">
        <f aca="false">tbl_Tasks_Clean[[#This Row],[Actual_Cost]]-tbl_Tasks_Clean[[#This Row],[Planned_Cost]]</f>
        <v>-8000</v>
      </c>
      <c r="X84" s="22" t="n">
        <f aca="false">IFERROR(tbl_Tasks_Clean[[#This Row],[Actual_Cost]]/tbl_Tasks_Clean[[#This Row],[Planned_Cost]],0)</f>
        <v>0</v>
      </c>
      <c r="Y84" s="22" t="str">
        <f aca="false">IF(AND(tbl_Tasks_Clean[[#This Row],[Status]]="Completed",tbl_Tasks_Clean[[#This Row],[Delay_Days]]&lt;=0),"On Time","Late")</f>
        <v>Late</v>
      </c>
      <c r="Z84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84" s="22" t="str">
        <f aca="false">INDEX(tbl_Projects[Project_Manager],MATCH(tbl_Tasks_Clean[[#This Row],[Project_ID]],tbl_Projects[Project_ID],0))</f>
        <v>Youssef Adel</v>
      </c>
      <c r="AB84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85" customFormat="false" ht="14.25" hidden="false" customHeight="false" outlineLevel="0" collapsed="false">
      <c r="A85" s="22" t="s">
        <v>576</v>
      </c>
      <c r="B85" s="22" t="s">
        <v>140</v>
      </c>
      <c r="C85" s="22" t="s">
        <v>141</v>
      </c>
      <c r="D85" s="22" t="s">
        <v>457</v>
      </c>
      <c r="E85" s="22" t="s">
        <v>21</v>
      </c>
      <c r="F85" s="22" t="s">
        <v>62</v>
      </c>
      <c r="G85" s="22" t="s">
        <v>275</v>
      </c>
      <c r="H85" s="22" t="s">
        <v>212</v>
      </c>
      <c r="I85" s="23" t="n">
        <v>45465</v>
      </c>
      <c r="J85" s="23" t="n">
        <v>45484</v>
      </c>
      <c r="K85" s="23"/>
      <c r="L85" s="0" t="n">
        <v>5000</v>
      </c>
      <c r="M85" s="0" t="n">
        <v>2256</v>
      </c>
      <c r="N85" s="0" t="n">
        <v>19</v>
      </c>
      <c r="O85" s="0" t="n">
        <v>0</v>
      </c>
      <c r="P85" s="22" t="s">
        <v>118</v>
      </c>
      <c r="Q85" s="22" t="s">
        <v>123</v>
      </c>
      <c r="R85" s="23" t="n">
        <v>45383</v>
      </c>
      <c r="S85" s="0" t="n">
        <v>200000</v>
      </c>
      <c r="T85" s="22" t="s">
        <v>61</v>
      </c>
      <c r="U85" s="22" t="s">
        <v>64</v>
      </c>
      <c r="V85" s="0" t="n">
        <v>150</v>
      </c>
      <c r="W85" s="0" t="n">
        <f aca="false">tbl_Tasks_Clean[[#This Row],[Actual_Cost]]-tbl_Tasks_Clean[[#This Row],[Planned_Cost]]</f>
        <v>-2744</v>
      </c>
      <c r="X85" s="22" t="n">
        <f aca="false">IFERROR(tbl_Tasks_Clean[[#This Row],[Actual_Cost]]/tbl_Tasks_Clean[[#This Row],[Planned_Cost]],0)</f>
        <v>0.4512</v>
      </c>
      <c r="Y85" s="22" t="str">
        <f aca="false">IF(AND(tbl_Tasks_Clean[[#This Row],[Status]]="Completed",tbl_Tasks_Clean[[#This Row],[Delay_Days]]&lt;=0),"On Time","Late")</f>
        <v>Late</v>
      </c>
      <c r="Z85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85" s="22" t="str">
        <f aca="false">INDEX(tbl_Projects[Project_Manager],MATCH(tbl_Tasks_Clean[[#This Row],[Project_ID]],tbl_Projects[Project_ID],0))</f>
        <v>Nourhan Tarek</v>
      </c>
      <c r="AB85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86" customFormat="false" ht="14.25" hidden="false" customHeight="false" outlineLevel="0" collapsed="false">
      <c r="A86" s="22" t="s">
        <v>579</v>
      </c>
      <c r="B86" s="22" t="s">
        <v>98</v>
      </c>
      <c r="C86" s="22" t="s">
        <v>99</v>
      </c>
      <c r="D86" s="22" t="s">
        <v>188</v>
      </c>
      <c r="E86" s="22" t="s">
        <v>34</v>
      </c>
      <c r="F86" s="22" t="s">
        <v>79</v>
      </c>
      <c r="G86" s="22" t="s">
        <v>175</v>
      </c>
      <c r="H86" s="22" t="s">
        <v>212</v>
      </c>
      <c r="I86" s="23" t="n">
        <v>45367</v>
      </c>
      <c r="J86" s="23" t="n">
        <v>45391</v>
      </c>
      <c r="K86" s="23"/>
      <c r="L86" s="0" t="n">
        <v>2500</v>
      </c>
      <c r="M86" s="0" t="n">
        <v>1886</v>
      </c>
      <c r="N86" s="0" t="n">
        <v>24</v>
      </c>
      <c r="O86" s="0" t="n">
        <v>0</v>
      </c>
      <c r="P86" s="22" t="s">
        <v>100</v>
      </c>
      <c r="Q86" s="22" t="s">
        <v>101</v>
      </c>
      <c r="R86" s="23" t="n">
        <v>45349</v>
      </c>
      <c r="S86" s="0" t="n">
        <v>100000</v>
      </c>
      <c r="T86" s="22" t="s">
        <v>78</v>
      </c>
      <c r="U86" s="22" t="s">
        <v>77</v>
      </c>
      <c r="V86" s="0" t="n">
        <v>250</v>
      </c>
      <c r="W86" s="0" t="n">
        <f aca="false">tbl_Tasks_Clean[[#This Row],[Actual_Cost]]-tbl_Tasks_Clean[[#This Row],[Planned_Cost]]</f>
        <v>-614</v>
      </c>
      <c r="X86" s="22" t="n">
        <f aca="false">IFERROR(tbl_Tasks_Clean[[#This Row],[Actual_Cost]]/tbl_Tasks_Clean[[#This Row],[Planned_Cost]],0)</f>
        <v>0.7544</v>
      </c>
      <c r="Y86" s="22" t="str">
        <f aca="false">IF(AND(tbl_Tasks_Clean[[#This Row],[Status]]="Completed",tbl_Tasks_Clean[[#This Row],[Delay_Days]]&lt;=0),"On Time","Late")</f>
        <v>Late</v>
      </c>
      <c r="Z86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86" s="22" t="str">
        <f aca="false">INDEX(tbl_Projects[Project_Manager],MATCH(tbl_Tasks_Clean[[#This Row],[Project_ID]],tbl_Projects[Project_ID],0))</f>
        <v>Ahmed Nabil</v>
      </c>
      <c r="AB86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87" customFormat="false" ht="14.25" hidden="false" customHeight="false" outlineLevel="0" collapsed="false">
      <c r="A87" s="22" t="s">
        <v>582</v>
      </c>
      <c r="B87" s="22" t="s">
        <v>140</v>
      </c>
      <c r="C87" s="22" t="s">
        <v>141</v>
      </c>
      <c r="D87" s="22" t="s">
        <v>583</v>
      </c>
      <c r="E87" s="22" t="s">
        <v>54</v>
      </c>
      <c r="F87" s="22" t="s">
        <v>20</v>
      </c>
      <c r="G87" s="22" t="s">
        <v>175</v>
      </c>
      <c r="H87" s="22" t="s">
        <v>239</v>
      </c>
      <c r="I87" s="23" t="n">
        <v>45401</v>
      </c>
      <c r="J87" s="23" t="n">
        <v>45429</v>
      </c>
      <c r="K87" s="23" t="n">
        <v>45431</v>
      </c>
      <c r="L87" s="0" t="n">
        <v>4000</v>
      </c>
      <c r="M87" s="0" t="n">
        <v>4271</v>
      </c>
      <c r="N87" s="0" t="n">
        <v>28</v>
      </c>
      <c r="O87" s="0" t="n">
        <v>2</v>
      </c>
      <c r="P87" s="22" t="s">
        <v>118</v>
      </c>
      <c r="Q87" s="22" t="s">
        <v>123</v>
      </c>
      <c r="R87" s="23" t="n">
        <v>45383</v>
      </c>
      <c r="S87" s="0" t="n">
        <v>200000</v>
      </c>
      <c r="T87" s="22" t="s">
        <v>19</v>
      </c>
      <c r="U87" s="22" t="s">
        <v>22</v>
      </c>
      <c r="V87" s="0" t="n">
        <v>180</v>
      </c>
      <c r="W87" s="0" t="n">
        <f aca="false">tbl_Tasks_Clean[[#This Row],[Actual_Cost]]-tbl_Tasks_Clean[[#This Row],[Planned_Cost]]</f>
        <v>271</v>
      </c>
      <c r="X87" s="22" t="n">
        <f aca="false">IFERROR(tbl_Tasks_Clean[[#This Row],[Actual_Cost]]/tbl_Tasks_Clean[[#This Row],[Planned_Cost]],0)</f>
        <v>1.06775</v>
      </c>
      <c r="Y87" s="22" t="str">
        <f aca="false">IF(AND(tbl_Tasks_Clean[[#This Row],[Status]]="Completed",tbl_Tasks_Clean[[#This Row],[Delay_Days]]&lt;=0),"On Time","Late")</f>
        <v>Late</v>
      </c>
      <c r="Z87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87" s="22" t="str">
        <f aca="false">INDEX(tbl_Projects[Project_Manager],MATCH(tbl_Tasks_Clean[[#This Row],[Project_ID]],tbl_Projects[Project_ID],0))</f>
        <v>Nourhan Tarek</v>
      </c>
      <c r="AB87" s="22" t="str">
        <f aca="false">IF(tbl_Tasks_Clean[[#This Row],[Delay_Days]]&gt;0,"Delayed by "&amp;TEXT(DATEDIF(tbl_Tasks_Clean[[#This Row],[Planned_End_Date]],tbl_Tasks_Clean[[#This Row],[Actual_End_Date]],"d"),"0")&amp;" days","No delay")</f>
        <v>Delayed by 2 days</v>
      </c>
    </row>
    <row r="88" customFormat="false" ht="14.25" hidden="false" customHeight="false" outlineLevel="0" collapsed="false">
      <c r="A88" s="22" t="s">
        <v>586</v>
      </c>
      <c r="B88" s="22" t="s">
        <v>133</v>
      </c>
      <c r="C88" s="22" t="s">
        <v>134</v>
      </c>
      <c r="D88" s="22" t="s">
        <v>587</v>
      </c>
      <c r="E88" s="22" t="s">
        <v>63</v>
      </c>
      <c r="F88" s="22" t="s">
        <v>73</v>
      </c>
      <c r="G88" s="22" t="s">
        <v>275</v>
      </c>
      <c r="H88" s="22" t="s">
        <v>212</v>
      </c>
      <c r="I88" s="23" t="n">
        <v>45450</v>
      </c>
      <c r="J88" s="23" t="n">
        <v>45474</v>
      </c>
      <c r="K88" s="23"/>
      <c r="L88" s="0" t="n">
        <v>4000</v>
      </c>
      <c r="M88" s="0" t="n">
        <v>2434</v>
      </c>
      <c r="N88" s="0" t="n">
        <v>24</v>
      </c>
      <c r="O88" s="0" t="n">
        <v>0</v>
      </c>
      <c r="P88" s="22" t="s">
        <v>135</v>
      </c>
      <c r="Q88" s="22" t="s">
        <v>101</v>
      </c>
      <c r="R88" s="23" t="n">
        <v>45347</v>
      </c>
      <c r="S88" s="0" t="n">
        <v>200000</v>
      </c>
      <c r="T88" s="22" t="s">
        <v>72</v>
      </c>
      <c r="U88" s="22" t="s">
        <v>67</v>
      </c>
      <c r="V88" s="0" t="n">
        <v>200</v>
      </c>
      <c r="W88" s="0" t="n">
        <f aca="false">tbl_Tasks_Clean[[#This Row],[Actual_Cost]]-tbl_Tasks_Clean[[#This Row],[Planned_Cost]]</f>
        <v>-1566</v>
      </c>
      <c r="X88" s="22" t="n">
        <f aca="false">IFERROR(tbl_Tasks_Clean[[#This Row],[Actual_Cost]]/tbl_Tasks_Clean[[#This Row],[Planned_Cost]],0)</f>
        <v>0.6085</v>
      </c>
      <c r="Y88" s="22" t="str">
        <f aca="false">IF(AND(tbl_Tasks_Clean[[#This Row],[Status]]="Completed",tbl_Tasks_Clean[[#This Row],[Delay_Days]]&lt;=0),"On Time","Late")</f>
        <v>Late</v>
      </c>
      <c r="Z88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88" s="22" t="str">
        <f aca="false">INDEX(tbl_Projects[Project_Manager],MATCH(tbl_Tasks_Clean[[#This Row],[Project_ID]],tbl_Projects[Project_ID],0))</f>
        <v>Ahmed Nabil</v>
      </c>
      <c r="AB88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89" customFormat="false" ht="14.25" hidden="false" customHeight="false" outlineLevel="0" collapsed="false">
      <c r="A89" s="22" t="s">
        <v>590</v>
      </c>
      <c r="B89" s="22" t="s">
        <v>116</v>
      </c>
      <c r="C89" s="22" t="s">
        <v>117</v>
      </c>
      <c r="D89" s="22" t="s">
        <v>591</v>
      </c>
      <c r="E89" s="22" t="s">
        <v>44</v>
      </c>
      <c r="F89" s="22" t="s">
        <v>60</v>
      </c>
      <c r="G89" s="22" t="s">
        <v>275</v>
      </c>
      <c r="H89" s="22" t="s">
        <v>201</v>
      </c>
      <c r="I89" s="23" t="n">
        <v>45575</v>
      </c>
      <c r="J89" s="23" t="n">
        <v>45594</v>
      </c>
      <c r="K89" s="23"/>
      <c r="L89" s="0" t="n">
        <v>2500</v>
      </c>
      <c r="M89" s="0" t="n">
        <v>0</v>
      </c>
      <c r="N89" s="0" t="n">
        <v>19</v>
      </c>
      <c r="O89" s="0" t="n">
        <v>0</v>
      </c>
      <c r="P89" s="22" t="s">
        <v>118</v>
      </c>
      <c r="Q89" s="22" t="s">
        <v>106</v>
      </c>
      <c r="R89" s="23" t="n">
        <v>45435</v>
      </c>
      <c r="S89" s="0" t="n">
        <v>120000</v>
      </c>
      <c r="T89" s="22" t="s">
        <v>59</v>
      </c>
      <c r="U89" s="22" t="s">
        <v>58</v>
      </c>
      <c r="V89" s="0" t="n">
        <v>300</v>
      </c>
      <c r="W89" s="0" t="n">
        <f aca="false">tbl_Tasks_Clean[[#This Row],[Actual_Cost]]-tbl_Tasks_Clean[[#This Row],[Planned_Cost]]</f>
        <v>-2500</v>
      </c>
      <c r="X89" s="22" t="n">
        <f aca="false">IFERROR(tbl_Tasks_Clean[[#This Row],[Actual_Cost]]/tbl_Tasks_Clean[[#This Row],[Planned_Cost]],0)</f>
        <v>0</v>
      </c>
      <c r="Y89" s="22" t="str">
        <f aca="false">IF(AND(tbl_Tasks_Clean[[#This Row],[Status]]="Completed",tbl_Tasks_Clean[[#This Row],[Delay_Days]]&lt;=0),"On Time","Late")</f>
        <v>Late</v>
      </c>
      <c r="Z89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89" s="22" t="str">
        <f aca="false">INDEX(tbl_Projects[Project_Manager],MATCH(tbl_Tasks_Clean[[#This Row],[Project_ID]],tbl_Projects[Project_ID],0))</f>
        <v>Laila Samir</v>
      </c>
      <c r="AB89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90" customFormat="false" ht="14.25" hidden="false" customHeight="false" outlineLevel="0" collapsed="false">
      <c r="A90" s="22" t="s">
        <v>593</v>
      </c>
      <c r="B90" s="22" t="s">
        <v>140</v>
      </c>
      <c r="C90" s="22" t="s">
        <v>141</v>
      </c>
      <c r="D90" s="22" t="s">
        <v>594</v>
      </c>
      <c r="E90" s="22" t="s">
        <v>34</v>
      </c>
      <c r="F90" s="22" t="s">
        <v>69</v>
      </c>
      <c r="G90" s="22" t="s">
        <v>275</v>
      </c>
      <c r="H90" s="22" t="s">
        <v>201</v>
      </c>
      <c r="I90" s="23" t="n">
        <v>45523</v>
      </c>
      <c r="J90" s="23" t="n">
        <v>45528</v>
      </c>
      <c r="K90" s="23"/>
      <c r="L90" s="0" t="n">
        <v>3000</v>
      </c>
      <c r="M90" s="0" t="n">
        <v>0</v>
      </c>
      <c r="N90" s="0" t="n">
        <v>5</v>
      </c>
      <c r="O90" s="0" t="n">
        <v>0</v>
      </c>
      <c r="P90" s="22" t="s">
        <v>118</v>
      </c>
      <c r="Q90" s="22" t="s">
        <v>123</v>
      </c>
      <c r="R90" s="23" t="n">
        <v>45383</v>
      </c>
      <c r="S90" s="0" t="n">
        <v>200000</v>
      </c>
      <c r="T90" s="22" t="s">
        <v>68</v>
      </c>
      <c r="U90" s="22" t="s">
        <v>67</v>
      </c>
      <c r="V90" s="0" t="n">
        <v>180</v>
      </c>
      <c r="W90" s="0" t="n">
        <f aca="false">tbl_Tasks_Clean[[#This Row],[Actual_Cost]]-tbl_Tasks_Clean[[#This Row],[Planned_Cost]]</f>
        <v>-3000</v>
      </c>
      <c r="X90" s="22" t="n">
        <f aca="false">IFERROR(tbl_Tasks_Clean[[#This Row],[Actual_Cost]]/tbl_Tasks_Clean[[#This Row],[Planned_Cost]],0)</f>
        <v>0</v>
      </c>
      <c r="Y90" s="22" t="str">
        <f aca="false">IF(AND(tbl_Tasks_Clean[[#This Row],[Status]]="Completed",tbl_Tasks_Clean[[#This Row],[Delay_Days]]&lt;=0),"On Time","Late")</f>
        <v>Late</v>
      </c>
      <c r="Z90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90" s="22" t="str">
        <f aca="false">INDEX(tbl_Projects[Project_Manager],MATCH(tbl_Tasks_Clean[[#This Row],[Project_ID]],tbl_Projects[Project_ID],0))</f>
        <v>Nourhan Tarek</v>
      </c>
      <c r="AB90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91" customFormat="false" ht="14.25" hidden="false" customHeight="false" outlineLevel="0" collapsed="false">
      <c r="A91" s="22" t="s">
        <v>597</v>
      </c>
      <c r="B91" s="22" t="s">
        <v>112</v>
      </c>
      <c r="C91" s="22" t="s">
        <v>113</v>
      </c>
      <c r="D91" s="22" t="s">
        <v>598</v>
      </c>
      <c r="E91" s="22" t="s">
        <v>34</v>
      </c>
      <c r="F91" s="22" t="s">
        <v>40</v>
      </c>
      <c r="G91" s="22" t="s">
        <v>275</v>
      </c>
      <c r="H91" s="22" t="s">
        <v>201</v>
      </c>
      <c r="I91" s="23" t="n">
        <v>45371</v>
      </c>
      <c r="J91" s="23" t="n">
        <v>45375</v>
      </c>
      <c r="K91" s="23"/>
      <c r="L91" s="0" t="n">
        <v>3000</v>
      </c>
      <c r="M91" s="0" t="n">
        <v>0</v>
      </c>
      <c r="N91" s="0" t="n">
        <v>4</v>
      </c>
      <c r="O91" s="0" t="n">
        <v>0</v>
      </c>
      <c r="P91" s="22" t="s">
        <v>114</v>
      </c>
      <c r="Q91" s="22" t="s">
        <v>91</v>
      </c>
      <c r="R91" s="23" t="n">
        <v>45347</v>
      </c>
      <c r="S91" s="0" t="n">
        <v>120000</v>
      </c>
      <c r="T91" s="22" t="s">
        <v>39</v>
      </c>
      <c r="U91" s="22" t="s">
        <v>41</v>
      </c>
      <c r="V91" s="0" t="n">
        <v>220</v>
      </c>
      <c r="W91" s="0" t="n">
        <f aca="false">tbl_Tasks_Clean[[#This Row],[Actual_Cost]]-tbl_Tasks_Clean[[#This Row],[Planned_Cost]]</f>
        <v>-3000</v>
      </c>
      <c r="X91" s="22" t="n">
        <f aca="false">IFERROR(tbl_Tasks_Clean[[#This Row],[Actual_Cost]]/tbl_Tasks_Clean[[#This Row],[Planned_Cost]],0)</f>
        <v>0</v>
      </c>
      <c r="Y91" s="22" t="str">
        <f aca="false">IF(AND(tbl_Tasks_Clean[[#This Row],[Status]]="Completed",tbl_Tasks_Clean[[#This Row],[Delay_Days]]&lt;=0),"On Time","Late")</f>
        <v>Late</v>
      </c>
      <c r="Z91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91" s="22" t="str">
        <f aca="false">INDEX(tbl_Projects[Project_Manager],MATCH(tbl_Tasks_Clean[[#This Row],[Project_ID]],tbl_Projects[Project_ID],0))</f>
        <v>Mona Farid</v>
      </c>
      <c r="AB91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92" customFormat="false" ht="14.25" hidden="false" customHeight="false" outlineLevel="0" collapsed="false">
      <c r="A92" s="22" t="s">
        <v>601</v>
      </c>
      <c r="B92" s="22" t="s">
        <v>136</v>
      </c>
      <c r="C92" s="22" t="s">
        <v>137</v>
      </c>
      <c r="D92" s="22" t="s">
        <v>602</v>
      </c>
      <c r="E92" s="22" t="s">
        <v>76</v>
      </c>
      <c r="F92" s="22" t="s">
        <v>6</v>
      </c>
      <c r="G92" s="22" t="s">
        <v>275</v>
      </c>
      <c r="H92" s="22" t="s">
        <v>212</v>
      </c>
      <c r="I92" s="23" t="n">
        <v>45372</v>
      </c>
      <c r="J92" s="23" t="n">
        <v>45398</v>
      </c>
      <c r="K92" s="23"/>
      <c r="L92" s="0" t="n">
        <v>2000</v>
      </c>
      <c r="M92" s="0" t="n">
        <v>653</v>
      </c>
      <c r="N92" s="0" t="n">
        <v>26</v>
      </c>
      <c r="O92" s="0" t="n">
        <v>0</v>
      </c>
      <c r="P92" s="22" t="s">
        <v>138</v>
      </c>
      <c r="Q92" s="22" t="s">
        <v>101</v>
      </c>
      <c r="R92" s="23" t="n">
        <v>45315</v>
      </c>
      <c r="S92" s="0" t="n">
        <v>250000</v>
      </c>
      <c r="T92" s="22" t="s">
        <v>5</v>
      </c>
      <c r="U92" s="22" t="s">
        <v>8</v>
      </c>
      <c r="V92" s="0" t="n">
        <v>150</v>
      </c>
      <c r="W92" s="0" t="n">
        <f aca="false">tbl_Tasks_Clean[[#This Row],[Actual_Cost]]-tbl_Tasks_Clean[[#This Row],[Planned_Cost]]</f>
        <v>-1347</v>
      </c>
      <c r="X92" s="22" t="n">
        <f aca="false">IFERROR(tbl_Tasks_Clean[[#This Row],[Actual_Cost]]/tbl_Tasks_Clean[[#This Row],[Planned_Cost]],0)</f>
        <v>0.3265</v>
      </c>
      <c r="Y92" s="22" t="str">
        <f aca="false">IF(AND(tbl_Tasks_Clean[[#This Row],[Status]]="Completed",tbl_Tasks_Clean[[#This Row],[Delay_Days]]&lt;=0),"On Time","Late")</f>
        <v>Late</v>
      </c>
      <c r="Z92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92" s="22" t="str">
        <f aca="false">INDEX(tbl_Projects[Project_Manager],MATCH(tbl_Tasks_Clean[[#This Row],[Project_ID]],tbl_Projects[Project_ID],0))</f>
        <v>Ahmed Nabil</v>
      </c>
      <c r="AB92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93" customFormat="false" ht="14.25" hidden="false" customHeight="false" outlineLevel="0" collapsed="false">
      <c r="A93" s="22" t="s">
        <v>610</v>
      </c>
      <c r="B93" s="22" t="s">
        <v>140</v>
      </c>
      <c r="C93" s="22" t="s">
        <v>141</v>
      </c>
      <c r="D93" s="22" t="s">
        <v>611</v>
      </c>
      <c r="E93" s="22" t="s">
        <v>76</v>
      </c>
      <c r="F93" s="22" t="s">
        <v>73</v>
      </c>
      <c r="G93" s="22" t="s">
        <v>275</v>
      </c>
      <c r="H93" s="22" t="s">
        <v>212</v>
      </c>
      <c r="I93" s="23" t="n">
        <v>45498</v>
      </c>
      <c r="J93" s="23" t="n">
        <v>45504</v>
      </c>
      <c r="K93" s="23"/>
      <c r="L93" s="0" t="n">
        <v>10000</v>
      </c>
      <c r="M93" s="0" t="n">
        <v>7208</v>
      </c>
      <c r="N93" s="0" t="n">
        <v>6</v>
      </c>
      <c r="O93" s="0" t="n">
        <v>0</v>
      </c>
      <c r="P93" s="22" t="s">
        <v>118</v>
      </c>
      <c r="Q93" s="22" t="s">
        <v>123</v>
      </c>
      <c r="R93" s="23" t="n">
        <v>45383</v>
      </c>
      <c r="S93" s="0" t="n">
        <v>200000</v>
      </c>
      <c r="T93" s="22" t="s">
        <v>72</v>
      </c>
      <c r="U93" s="22" t="s">
        <v>67</v>
      </c>
      <c r="V93" s="0" t="n">
        <v>200</v>
      </c>
      <c r="W93" s="0" t="n">
        <f aca="false">tbl_Tasks_Clean[[#This Row],[Actual_Cost]]-tbl_Tasks_Clean[[#This Row],[Planned_Cost]]</f>
        <v>-2792</v>
      </c>
      <c r="X93" s="22" t="n">
        <f aca="false">IFERROR(tbl_Tasks_Clean[[#This Row],[Actual_Cost]]/tbl_Tasks_Clean[[#This Row],[Planned_Cost]],0)</f>
        <v>0.7208</v>
      </c>
      <c r="Y93" s="22" t="str">
        <f aca="false">IF(AND(tbl_Tasks_Clean[[#This Row],[Status]]="Completed",tbl_Tasks_Clean[[#This Row],[Delay_Days]]&lt;=0),"On Time","Late")</f>
        <v>Late</v>
      </c>
      <c r="Z93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93" s="22" t="str">
        <f aca="false">INDEX(tbl_Projects[Project_Manager],MATCH(tbl_Tasks_Clean[[#This Row],[Project_ID]],tbl_Projects[Project_ID],0))</f>
        <v>Nourhan Tarek</v>
      </c>
      <c r="AB93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94" customFormat="false" ht="14.25" hidden="false" customHeight="false" outlineLevel="0" collapsed="false">
      <c r="A94" s="22" t="s">
        <v>614</v>
      </c>
      <c r="B94" s="22" t="s">
        <v>93</v>
      </c>
      <c r="C94" s="22" t="s">
        <v>94</v>
      </c>
      <c r="D94" s="22" t="s">
        <v>199</v>
      </c>
      <c r="E94" s="22" t="s">
        <v>63</v>
      </c>
      <c r="F94" s="22" t="s">
        <v>71</v>
      </c>
      <c r="G94" s="22" t="s">
        <v>206</v>
      </c>
      <c r="H94" s="22" t="s">
        <v>239</v>
      </c>
      <c r="I94" s="23" t="n">
        <v>45575</v>
      </c>
      <c r="J94" s="23" t="n">
        <v>45583</v>
      </c>
      <c r="K94" s="23" t="n">
        <v>45584</v>
      </c>
      <c r="L94" s="0" t="n">
        <v>10000</v>
      </c>
      <c r="M94" s="0" t="n">
        <v>13746</v>
      </c>
      <c r="N94" s="0" t="n">
        <v>8</v>
      </c>
      <c r="O94" s="0" t="n">
        <v>1</v>
      </c>
      <c r="P94" s="22" t="s">
        <v>95</v>
      </c>
      <c r="Q94" s="22" t="s">
        <v>96</v>
      </c>
      <c r="R94" s="23" t="n">
        <v>45481</v>
      </c>
      <c r="S94" s="0" t="n">
        <v>150000</v>
      </c>
      <c r="T94" s="22" t="s">
        <v>70</v>
      </c>
      <c r="U94" s="22" t="s">
        <v>67</v>
      </c>
      <c r="V94" s="0" t="n">
        <v>180</v>
      </c>
      <c r="W94" s="0" t="n">
        <f aca="false">tbl_Tasks_Clean[[#This Row],[Actual_Cost]]-tbl_Tasks_Clean[[#This Row],[Planned_Cost]]</f>
        <v>3746</v>
      </c>
      <c r="X94" s="22" t="n">
        <f aca="false">IFERROR(tbl_Tasks_Clean[[#This Row],[Actual_Cost]]/tbl_Tasks_Clean[[#This Row],[Planned_Cost]],0)</f>
        <v>1.3746</v>
      </c>
      <c r="Y94" s="22" t="str">
        <f aca="false">IF(AND(tbl_Tasks_Clean[[#This Row],[Status]]="Completed",tbl_Tasks_Clean[[#This Row],[Delay_Days]]&lt;=0),"On Time","Late")</f>
        <v>Late</v>
      </c>
      <c r="Z94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94" s="22" t="str">
        <f aca="false">INDEX(tbl_Projects[Project_Manager],MATCH(tbl_Tasks_Clean[[#This Row],[Project_ID]],tbl_Projects[Project_ID],0))</f>
        <v>Youssef Adel</v>
      </c>
      <c r="AB94" s="22" t="str">
        <f aca="false">IF(tbl_Tasks_Clean[[#This Row],[Delay_Days]]&gt;0,"Delayed by "&amp;TEXT(DATEDIF(tbl_Tasks_Clean[[#This Row],[Planned_End_Date]],tbl_Tasks_Clean[[#This Row],[Actual_End_Date]],"d"),"0")&amp;" days","No delay")</f>
        <v>Delayed by 1 days</v>
      </c>
    </row>
    <row r="95" customFormat="false" ht="14.25" hidden="false" customHeight="false" outlineLevel="0" collapsed="false">
      <c r="A95" s="22" t="s">
        <v>619</v>
      </c>
      <c r="B95" s="22" t="s">
        <v>93</v>
      </c>
      <c r="C95" s="22" t="s">
        <v>94</v>
      </c>
      <c r="D95" s="22" t="s">
        <v>620</v>
      </c>
      <c r="E95" s="22" t="s">
        <v>7</v>
      </c>
      <c r="F95" s="22" t="s">
        <v>43</v>
      </c>
      <c r="G95" s="22" t="s">
        <v>206</v>
      </c>
      <c r="H95" s="22" t="s">
        <v>239</v>
      </c>
      <c r="I95" s="23" t="n">
        <v>45508</v>
      </c>
      <c r="J95" s="23" t="n">
        <v>45524</v>
      </c>
      <c r="K95" s="23" t="n">
        <v>45523</v>
      </c>
      <c r="L95" s="0" t="n">
        <v>6000</v>
      </c>
      <c r="M95" s="0" t="n">
        <v>7171</v>
      </c>
      <c r="N95" s="0" t="n">
        <v>16</v>
      </c>
      <c r="O95" s="0" t="n">
        <v>-1</v>
      </c>
      <c r="P95" s="22" t="s">
        <v>95</v>
      </c>
      <c r="Q95" s="22" t="s">
        <v>96</v>
      </c>
      <c r="R95" s="23" t="n">
        <v>45481</v>
      </c>
      <c r="S95" s="0" t="n">
        <v>150000</v>
      </c>
      <c r="T95" s="22" t="s">
        <v>42</v>
      </c>
      <c r="U95" s="22" t="s">
        <v>45</v>
      </c>
      <c r="V95" s="0" t="n">
        <v>220</v>
      </c>
      <c r="W95" s="0" t="n">
        <f aca="false">tbl_Tasks_Clean[[#This Row],[Actual_Cost]]-tbl_Tasks_Clean[[#This Row],[Planned_Cost]]</f>
        <v>1171</v>
      </c>
      <c r="X95" s="22" t="n">
        <f aca="false">IFERROR(tbl_Tasks_Clean[[#This Row],[Actual_Cost]]/tbl_Tasks_Clean[[#This Row],[Planned_Cost]],0)</f>
        <v>1.19516666666667</v>
      </c>
      <c r="Y95" s="22" t="str">
        <f aca="false">IF(AND(tbl_Tasks_Clean[[#This Row],[Status]]="Completed",tbl_Tasks_Clean[[#This Row],[Delay_Days]]&lt;=0),"On Time","Late")</f>
        <v>On Time</v>
      </c>
      <c r="Z95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95" s="22" t="str">
        <f aca="false">INDEX(tbl_Projects[Project_Manager],MATCH(tbl_Tasks_Clean[[#This Row],[Project_ID]],tbl_Projects[Project_ID],0))</f>
        <v>Youssef Adel</v>
      </c>
      <c r="AB95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96" customFormat="false" ht="14.25" hidden="false" customHeight="false" outlineLevel="0" collapsed="false">
      <c r="A96" s="22" t="s">
        <v>624</v>
      </c>
      <c r="B96" s="22" t="s">
        <v>103</v>
      </c>
      <c r="C96" s="22" t="s">
        <v>104</v>
      </c>
      <c r="D96" s="22" t="s">
        <v>421</v>
      </c>
      <c r="E96" s="22" t="s">
        <v>44</v>
      </c>
      <c r="F96" s="22" t="s">
        <v>10</v>
      </c>
      <c r="G96" s="22" t="s">
        <v>206</v>
      </c>
      <c r="H96" s="22" t="s">
        <v>239</v>
      </c>
      <c r="I96" s="23" t="n">
        <v>45548</v>
      </c>
      <c r="J96" s="23" t="n">
        <v>45575</v>
      </c>
      <c r="K96" s="23" t="n">
        <v>45576</v>
      </c>
      <c r="L96" s="0" t="n">
        <v>10000</v>
      </c>
      <c r="M96" s="0" t="n">
        <v>7595</v>
      </c>
      <c r="N96" s="0" t="n">
        <v>27</v>
      </c>
      <c r="O96" s="0" t="n">
        <v>1</v>
      </c>
      <c r="P96" s="22" t="s">
        <v>105</v>
      </c>
      <c r="Q96" s="22" t="s">
        <v>106</v>
      </c>
      <c r="R96" s="23" t="n">
        <v>45465</v>
      </c>
      <c r="S96" s="0" t="n">
        <v>75000</v>
      </c>
      <c r="T96" s="22" t="s">
        <v>9</v>
      </c>
      <c r="U96" s="22" t="s">
        <v>8</v>
      </c>
      <c r="V96" s="0" t="n">
        <v>220</v>
      </c>
      <c r="W96" s="0" t="n">
        <f aca="false">tbl_Tasks_Clean[[#This Row],[Actual_Cost]]-tbl_Tasks_Clean[[#This Row],[Planned_Cost]]</f>
        <v>-2405</v>
      </c>
      <c r="X96" s="22" t="n">
        <f aca="false">IFERROR(tbl_Tasks_Clean[[#This Row],[Actual_Cost]]/tbl_Tasks_Clean[[#This Row],[Planned_Cost]],0)</f>
        <v>0.7595</v>
      </c>
      <c r="Y96" s="22" t="str">
        <f aca="false">IF(AND(tbl_Tasks_Clean[[#This Row],[Status]]="Completed",tbl_Tasks_Clean[[#This Row],[Delay_Days]]&lt;=0),"On Time","Late")</f>
        <v>Late</v>
      </c>
      <c r="Z96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96" s="22" t="str">
        <f aca="false">INDEX(tbl_Projects[Project_Manager],MATCH(tbl_Tasks_Clean[[#This Row],[Project_ID]],tbl_Projects[Project_ID],0))</f>
        <v>Laila Samir</v>
      </c>
      <c r="AB96" s="22" t="str">
        <f aca="false">IF(tbl_Tasks_Clean[[#This Row],[Delay_Days]]&gt;0,"Delayed by "&amp;TEXT(DATEDIF(tbl_Tasks_Clean[[#This Row],[Planned_End_Date]],tbl_Tasks_Clean[[#This Row],[Actual_End_Date]],"d"),"0")&amp;" days","No delay")</f>
        <v>Delayed by 1 days</v>
      </c>
    </row>
    <row r="97" customFormat="false" ht="14.25" hidden="false" customHeight="false" outlineLevel="0" collapsed="false">
      <c r="A97" s="22" t="s">
        <v>629</v>
      </c>
      <c r="B97" s="22" t="s">
        <v>120</v>
      </c>
      <c r="C97" s="22" t="s">
        <v>121</v>
      </c>
      <c r="D97" s="22" t="s">
        <v>630</v>
      </c>
      <c r="E97" s="22" t="s">
        <v>54</v>
      </c>
      <c r="F97" s="22" t="s">
        <v>57</v>
      </c>
      <c r="G97" s="22" t="s">
        <v>206</v>
      </c>
      <c r="H97" s="22" t="s">
        <v>212</v>
      </c>
      <c r="I97" s="23" t="n">
        <v>45377</v>
      </c>
      <c r="J97" s="23" t="n">
        <v>45398</v>
      </c>
      <c r="K97" s="23"/>
      <c r="L97" s="0" t="n">
        <v>2500</v>
      </c>
      <c r="M97" s="0" t="n">
        <v>1388</v>
      </c>
      <c r="N97" s="0" t="n">
        <v>21</v>
      </c>
      <c r="O97" s="0" t="n">
        <v>0</v>
      </c>
      <c r="P97" s="22" t="s">
        <v>122</v>
      </c>
      <c r="Q97" s="22" t="s">
        <v>123</v>
      </c>
      <c r="R97" s="23" t="n">
        <v>45348</v>
      </c>
      <c r="S97" s="0" t="n">
        <v>300000</v>
      </c>
      <c r="T97" s="22" t="s">
        <v>56</v>
      </c>
      <c r="U97" s="22" t="s">
        <v>58</v>
      </c>
      <c r="V97" s="0" t="n">
        <v>150</v>
      </c>
      <c r="W97" s="0" t="n">
        <f aca="false">tbl_Tasks_Clean[[#This Row],[Actual_Cost]]-tbl_Tasks_Clean[[#This Row],[Planned_Cost]]</f>
        <v>-1112</v>
      </c>
      <c r="X97" s="22" t="n">
        <f aca="false">IFERROR(tbl_Tasks_Clean[[#This Row],[Actual_Cost]]/tbl_Tasks_Clean[[#This Row],[Planned_Cost]],0)</f>
        <v>0.5552</v>
      </c>
      <c r="Y97" s="22" t="str">
        <f aca="false">IF(AND(tbl_Tasks_Clean[[#This Row],[Status]]="Completed",tbl_Tasks_Clean[[#This Row],[Delay_Days]]&lt;=0),"On Time","Late")</f>
        <v>Late</v>
      </c>
      <c r="Z97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97" s="22" t="str">
        <f aca="false">INDEX(tbl_Projects[Project_Manager],MATCH(tbl_Tasks_Clean[[#This Row],[Project_ID]],tbl_Projects[Project_ID],0))</f>
        <v>Nourhan Tarek</v>
      </c>
      <c r="AB97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98" customFormat="false" ht="14.25" hidden="false" customHeight="false" outlineLevel="0" collapsed="false">
      <c r="A98" s="22" t="s">
        <v>634</v>
      </c>
      <c r="B98" s="22" t="s">
        <v>136</v>
      </c>
      <c r="C98" s="22" t="s">
        <v>137</v>
      </c>
      <c r="D98" s="22" t="s">
        <v>635</v>
      </c>
      <c r="E98" s="22" t="s">
        <v>7</v>
      </c>
      <c r="F98" s="22" t="s">
        <v>66</v>
      </c>
      <c r="G98" s="22" t="s">
        <v>275</v>
      </c>
      <c r="H98" s="22" t="s">
        <v>212</v>
      </c>
      <c r="I98" s="23" t="n">
        <v>45450</v>
      </c>
      <c r="J98" s="23" t="n">
        <v>45459</v>
      </c>
      <c r="K98" s="23"/>
      <c r="L98" s="0" t="n">
        <v>1000</v>
      </c>
      <c r="M98" s="0" t="n">
        <v>606</v>
      </c>
      <c r="N98" s="0" t="n">
        <v>9</v>
      </c>
      <c r="O98" s="0" t="n">
        <v>0</v>
      </c>
      <c r="P98" s="22" t="s">
        <v>138</v>
      </c>
      <c r="Q98" s="22" t="s">
        <v>101</v>
      </c>
      <c r="R98" s="23" t="n">
        <v>45315</v>
      </c>
      <c r="S98" s="0" t="n">
        <v>250000</v>
      </c>
      <c r="T98" s="22" t="s">
        <v>65</v>
      </c>
      <c r="U98" s="22" t="s">
        <v>67</v>
      </c>
      <c r="V98" s="0" t="n">
        <v>250</v>
      </c>
      <c r="W98" s="0" t="n">
        <f aca="false">tbl_Tasks_Clean[[#This Row],[Actual_Cost]]-tbl_Tasks_Clean[[#This Row],[Planned_Cost]]</f>
        <v>-394</v>
      </c>
      <c r="X98" s="22" t="n">
        <f aca="false">IFERROR(tbl_Tasks_Clean[[#This Row],[Actual_Cost]]/tbl_Tasks_Clean[[#This Row],[Planned_Cost]],0)</f>
        <v>0.606</v>
      </c>
      <c r="Y98" s="22" t="str">
        <f aca="false">IF(AND(tbl_Tasks_Clean[[#This Row],[Status]]="Completed",tbl_Tasks_Clean[[#This Row],[Delay_Days]]&lt;=0),"On Time","Late")</f>
        <v>Late</v>
      </c>
      <c r="Z98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98" s="22" t="str">
        <f aca="false">INDEX(tbl_Projects[Project_Manager],MATCH(tbl_Tasks_Clean[[#This Row],[Project_ID]],tbl_Projects[Project_ID],0))</f>
        <v>Ahmed Nabil</v>
      </c>
      <c r="AB98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99" customFormat="false" ht="14.25" hidden="false" customHeight="false" outlineLevel="0" collapsed="false">
      <c r="A99" s="22" t="s">
        <v>638</v>
      </c>
      <c r="B99" s="22" t="s">
        <v>136</v>
      </c>
      <c r="C99" s="22" t="s">
        <v>137</v>
      </c>
      <c r="D99" s="22" t="s">
        <v>639</v>
      </c>
      <c r="E99" s="22" t="s">
        <v>7</v>
      </c>
      <c r="F99" s="22" t="s">
        <v>15</v>
      </c>
      <c r="G99" s="22" t="s">
        <v>175</v>
      </c>
      <c r="H99" s="22" t="s">
        <v>194</v>
      </c>
      <c r="I99" s="23" t="n">
        <v>45327</v>
      </c>
      <c r="J99" s="23" t="n">
        <v>45351</v>
      </c>
      <c r="K99" s="23" t="n">
        <v>45351</v>
      </c>
      <c r="L99" s="0" t="n">
        <v>1000</v>
      </c>
      <c r="M99" s="0" t="n">
        <v>734</v>
      </c>
      <c r="N99" s="0" t="n">
        <v>24</v>
      </c>
      <c r="O99" s="0" t="n">
        <v>0</v>
      </c>
      <c r="P99" s="22" t="s">
        <v>138</v>
      </c>
      <c r="Q99" s="22" t="s">
        <v>101</v>
      </c>
      <c r="R99" s="23" t="n">
        <v>45315</v>
      </c>
      <c r="S99" s="0" t="n">
        <v>250000</v>
      </c>
      <c r="T99" s="22" t="s">
        <v>14</v>
      </c>
      <c r="U99" s="22" t="s">
        <v>16</v>
      </c>
      <c r="V99" s="0" t="n">
        <v>180</v>
      </c>
      <c r="W99" s="0" t="n">
        <f aca="false">tbl_Tasks_Clean[[#This Row],[Actual_Cost]]-tbl_Tasks_Clean[[#This Row],[Planned_Cost]]</f>
        <v>-266</v>
      </c>
      <c r="X99" s="22" t="n">
        <f aca="false">IFERROR(tbl_Tasks_Clean[[#This Row],[Actual_Cost]]/tbl_Tasks_Clean[[#This Row],[Planned_Cost]],0)</f>
        <v>0.734</v>
      </c>
      <c r="Y99" s="22" t="str">
        <f aca="false">IF(AND(tbl_Tasks_Clean[[#This Row],[Status]]="Completed",tbl_Tasks_Clean[[#This Row],[Delay_Days]]&lt;=0),"On Time","Late")</f>
        <v>Late</v>
      </c>
      <c r="Z99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99" s="22" t="str">
        <f aca="false">INDEX(tbl_Projects[Project_Manager],MATCH(tbl_Tasks_Clean[[#This Row],[Project_ID]],tbl_Projects[Project_ID],0))</f>
        <v>Ahmed Nabil</v>
      </c>
      <c r="AB99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00" customFormat="false" ht="14.25" hidden="false" customHeight="false" outlineLevel="0" collapsed="false">
      <c r="A100" s="22" t="s">
        <v>642</v>
      </c>
      <c r="B100" s="22" t="s">
        <v>120</v>
      </c>
      <c r="C100" s="22" t="s">
        <v>121</v>
      </c>
      <c r="D100" s="22" t="s">
        <v>643</v>
      </c>
      <c r="E100" s="22" t="s">
        <v>34</v>
      </c>
      <c r="F100" s="22" t="s">
        <v>57</v>
      </c>
      <c r="G100" s="22" t="s">
        <v>206</v>
      </c>
      <c r="H100" s="22" t="s">
        <v>194</v>
      </c>
      <c r="I100" s="23" t="n">
        <v>45438</v>
      </c>
      <c r="J100" s="23" t="n">
        <v>45446</v>
      </c>
      <c r="K100" s="23" t="n">
        <v>45447</v>
      </c>
      <c r="L100" s="0" t="n">
        <v>8000</v>
      </c>
      <c r="M100" s="0" t="n">
        <v>8335</v>
      </c>
      <c r="N100" s="0" t="n">
        <v>8</v>
      </c>
      <c r="O100" s="0" t="n">
        <v>1</v>
      </c>
      <c r="P100" s="22" t="s">
        <v>122</v>
      </c>
      <c r="Q100" s="22" t="s">
        <v>123</v>
      </c>
      <c r="R100" s="23" t="n">
        <v>45348</v>
      </c>
      <c r="S100" s="0" t="n">
        <v>300000</v>
      </c>
      <c r="T100" s="22" t="s">
        <v>56</v>
      </c>
      <c r="U100" s="22" t="s">
        <v>58</v>
      </c>
      <c r="V100" s="0" t="n">
        <v>150</v>
      </c>
      <c r="W100" s="0" t="n">
        <f aca="false">tbl_Tasks_Clean[[#This Row],[Actual_Cost]]-tbl_Tasks_Clean[[#This Row],[Planned_Cost]]</f>
        <v>335</v>
      </c>
      <c r="X100" s="22" t="n">
        <f aca="false">IFERROR(tbl_Tasks_Clean[[#This Row],[Actual_Cost]]/tbl_Tasks_Clean[[#This Row],[Planned_Cost]],0)</f>
        <v>1.041875</v>
      </c>
      <c r="Y100" s="22" t="str">
        <f aca="false">IF(AND(tbl_Tasks_Clean[[#This Row],[Status]]="Completed",tbl_Tasks_Clean[[#This Row],[Delay_Days]]&lt;=0),"On Time","Late")</f>
        <v>Late</v>
      </c>
      <c r="Z100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00" s="22" t="str">
        <f aca="false">INDEX(tbl_Projects[Project_Manager],MATCH(tbl_Tasks_Clean[[#This Row],[Project_ID]],tbl_Projects[Project_ID],0))</f>
        <v>Nourhan Tarek</v>
      </c>
      <c r="AB100" s="22" t="str">
        <f aca="false">IF(tbl_Tasks_Clean[[#This Row],[Delay_Days]]&gt;0,"Delayed by "&amp;TEXT(DATEDIF(tbl_Tasks_Clean[[#This Row],[Planned_End_Date]],tbl_Tasks_Clean[[#This Row],[Actual_End_Date]],"d"),"0")&amp;" days","No delay")</f>
        <v>Delayed by 1 days</v>
      </c>
    </row>
    <row r="101" customFormat="false" ht="14.25" hidden="false" customHeight="false" outlineLevel="0" collapsed="false">
      <c r="A101" s="22" t="s">
        <v>647</v>
      </c>
      <c r="B101" s="22" t="s">
        <v>125</v>
      </c>
      <c r="C101" s="22" t="s">
        <v>126</v>
      </c>
      <c r="D101" s="22" t="s">
        <v>648</v>
      </c>
      <c r="E101" s="22" t="s">
        <v>21</v>
      </c>
      <c r="F101" s="22" t="s">
        <v>60</v>
      </c>
      <c r="G101" s="22" t="s">
        <v>175</v>
      </c>
      <c r="H101" s="22" t="s">
        <v>201</v>
      </c>
      <c r="I101" s="23" t="n">
        <v>45336</v>
      </c>
      <c r="J101" s="23" t="n">
        <v>45363</v>
      </c>
      <c r="K101" s="23"/>
      <c r="L101" s="0" t="n">
        <v>6000</v>
      </c>
      <c r="M101" s="0" t="n">
        <v>0</v>
      </c>
      <c r="N101" s="0" t="n">
        <v>27</v>
      </c>
      <c r="O101" s="0" t="n">
        <v>0</v>
      </c>
      <c r="P101" s="22" t="s">
        <v>127</v>
      </c>
      <c r="Q101" s="22" t="s">
        <v>106</v>
      </c>
      <c r="R101" s="23" t="n">
        <v>45293</v>
      </c>
      <c r="S101" s="0" t="n">
        <v>100000</v>
      </c>
      <c r="T101" s="22" t="s">
        <v>59</v>
      </c>
      <c r="U101" s="22" t="s">
        <v>58</v>
      </c>
      <c r="V101" s="0" t="n">
        <v>300</v>
      </c>
      <c r="W101" s="0" t="n">
        <f aca="false">tbl_Tasks_Clean[[#This Row],[Actual_Cost]]-tbl_Tasks_Clean[[#This Row],[Planned_Cost]]</f>
        <v>-6000</v>
      </c>
      <c r="X101" s="22" t="n">
        <f aca="false">IFERROR(tbl_Tasks_Clean[[#This Row],[Actual_Cost]]/tbl_Tasks_Clean[[#This Row],[Planned_Cost]],0)</f>
        <v>0</v>
      </c>
      <c r="Y101" s="22" t="str">
        <f aca="false">IF(AND(tbl_Tasks_Clean[[#This Row],[Status]]="Completed",tbl_Tasks_Clean[[#This Row],[Delay_Days]]&lt;=0),"On Time","Late")</f>
        <v>Late</v>
      </c>
      <c r="Z101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01" s="22" t="str">
        <f aca="false">INDEX(tbl_Projects[Project_Manager],MATCH(tbl_Tasks_Clean[[#This Row],[Project_ID]],tbl_Projects[Project_ID],0))</f>
        <v>Laila Samir</v>
      </c>
      <c r="AB101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02" customFormat="false" ht="14.25" hidden="false" customHeight="false" outlineLevel="0" collapsed="false">
      <c r="A102" s="22" t="s">
        <v>651</v>
      </c>
      <c r="B102" s="22" t="s">
        <v>98</v>
      </c>
      <c r="C102" s="22" t="s">
        <v>99</v>
      </c>
      <c r="D102" s="22" t="s">
        <v>652</v>
      </c>
      <c r="E102" s="22" t="s">
        <v>63</v>
      </c>
      <c r="F102" s="22" t="s">
        <v>73</v>
      </c>
      <c r="G102" s="22" t="s">
        <v>175</v>
      </c>
      <c r="H102" s="22" t="s">
        <v>239</v>
      </c>
      <c r="I102" s="23" t="n">
        <v>45359</v>
      </c>
      <c r="J102" s="23" t="n">
        <v>45371</v>
      </c>
      <c r="K102" s="23" t="n">
        <v>45371</v>
      </c>
      <c r="L102" s="0" t="n">
        <v>1000</v>
      </c>
      <c r="M102" s="0" t="n">
        <v>1106</v>
      </c>
      <c r="N102" s="0" t="n">
        <v>12</v>
      </c>
      <c r="O102" s="0" t="n">
        <v>0</v>
      </c>
      <c r="P102" s="22" t="s">
        <v>100</v>
      </c>
      <c r="Q102" s="22" t="s">
        <v>101</v>
      </c>
      <c r="R102" s="23" t="n">
        <v>45349</v>
      </c>
      <c r="S102" s="0" t="n">
        <v>100000</v>
      </c>
      <c r="T102" s="22" t="s">
        <v>72</v>
      </c>
      <c r="U102" s="22" t="s">
        <v>67</v>
      </c>
      <c r="V102" s="0" t="n">
        <v>200</v>
      </c>
      <c r="W102" s="0" t="n">
        <f aca="false">tbl_Tasks_Clean[[#This Row],[Actual_Cost]]-tbl_Tasks_Clean[[#This Row],[Planned_Cost]]</f>
        <v>106</v>
      </c>
      <c r="X102" s="22" t="n">
        <f aca="false">IFERROR(tbl_Tasks_Clean[[#This Row],[Actual_Cost]]/tbl_Tasks_Clean[[#This Row],[Planned_Cost]],0)</f>
        <v>1.106</v>
      </c>
      <c r="Y102" s="22" t="str">
        <f aca="false">IF(AND(tbl_Tasks_Clean[[#This Row],[Status]]="Completed",tbl_Tasks_Clean[[#This Row],[Delay_Days]]&lt;=0),"On Time","Late")</f>
        <v>On Time</v>
      </c>
      <c r="Z102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02" s="22" t="str">
        <f aca="false">INDEX(tbl_Projects[Project_Manager],MATCH(tbl_Tasks_Clean[[#This Row],[Project_ID]],tbl_Projects[Project_ID],0))</f>
        <v>Ahmed Nabil</v>
      </c>
      <c r="AB102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03" customFormat="false" ht="14.25" hidden="false" customHeight="false" outlineLevel="0" collapsed="false">
      <c r="A103" s="22" t="s">
        <v>654</v>
      </c>
      <c r="B103" s="22" t="s">
        <v>116</v>
      </c>
      <c r="C103" s="22" t="s">
        <v>117</v>
      </c>
      <c r="D103" s="22" t="s">
        <v>655</v>
      </c>
      <c r="E103" s="22" t="s">
        <v>21</v>
      </c>
      <c r="F103" s="22" t="s">
        <v>81</v>
      </c>
      <c r="G103" s="22" t="s">
        <v>206</v>
      </c>
      <c r="H103" s="22" t="s">
        <v>212</v>
      </c>
      <c r="I103" s="23" t="n">
        <v>45575</v>
      </c>
      <c r="J103" s="23" t="n">
        <v>45593</v>
      </c>
      <c r="K103" s="23"/>
      <c r="L103" s="0" t="n">
        <v>8000</v>
      </c>
      <c r="M103" s="0" t="n">
        <v>5450</v>
      </c>
      <c r="N103" s="0" t="n">
        <v>18</v>
      </c>
      <c r="O103" s="0" t="n">
        <v>0</v>
      </c>
      <c r="P103" s="22" t="s">
        <v>118</v>
      </c>
      <c r="Q103" s="22" t="s">
        <v>106</v>
      </c>
      <c r="R103" s="23" t="n">
        <v>45435</v>
      </c>
      <c r="S103" s="0" t="n">
        <v>120000</v>
      </c>
      <c r="T103" s="22" t="s">
        <v>80</v>
      </c>
      <c r="U103" s="22" t="s">
        <v>77</v>
      </c>
      <c r="V103" s="0" t="n">
        <v>200</v>
      </c>
      <c r="W103" s="0" t="n">
        <f aca="false">tbl_Tasks_Clean[[#This Row],[Actual_Cost]]-tbl_Tasks_Clean[[#This Row],[Planned_Cost]]</f>
        <v>-2550</v>
      </c>
      <c r="X103" s="22" t="n">
        <f aca="false">IFERROR(tbl_Tasks_Clean[[#This Row],[Actual_Cost]]/tbl_Tasks_Clean[[#This Row],[Planned_Cost]],0)</f>
        <v>0.68125</v>
      </c>
      <c r="Y103" s="22" t="str">
        <f aca="false">IF(AND(tbl_Tasks_Clean[[#This Row],[Status]]="Completed",tbl_Tasks_Clean[[#This Row],[Delay_Days]]&lt;=0),"On Time","Late")</f>
        <v>Late</v>
      </c>
      <c r="Z103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03" s="22" t="str">
        <f aca="false">INDEX(tbl_Projects[Project_Manager],MATCH(tbl_Tasks_Clean[[#This Row],[Project_ID]],tbl_Projects[Project_ID],0))</f>
        <v>Laila Samir</v>
      </c>
      <c r="AB103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04" customFormat="false" ht="14.25" hidden="false" customHeight="false" outlineLevel="0" collapsed="false">
      <c r="A104" s="22" t="s">
        <v>657</v>
      </c>
      <c r="B104" s="22" t="s">
        <v>136</v>
      </c>
      <c r="C104" s="22" t="s">
        <v>137</v>
      </c>
      <c r="D104" s="22" t="s">
        <v>658</v>
      </c>
      <c r="E104" s="22" t="s">
        <v>54</v>
      </c>
      <c r="F104" s="22" t="s">
        <v>33</v>
      </c>
      <c r="G104" s="22" t="s">
        <v>1372</v>
      </c>
      <c r="H104" s="22" t="s">
        <v>212</v>
      </c>
      <c r="I104" s="23" t="n">
        <v>45431</v>
      </c>
      <c r="J104" s="23" t="n">
        <v>45457</v>
      </c>
      <c r="K104" s="23"/>
      <c r="L104" s="0" t="n">
        <v>8000</v>
      </c>
      <c r="M104" s="0" t="n">
        <v>4463</v>
      </c>
      <c r="N104" s="0" t="n">
        <v>26</v>
      </c>
      <c r="O104" s="0" t="n">
        <v>0</v>
      </c>
      <c r="P104" s="22" t="s">
        <v>138</v>
      </c>
      <c r="Q104" s="22" t="s">
        <v>101</v>
      </c>
      <c r="R104" s="23" t="n">
        <v>45315</v>
      </c>
      <c r="S104" s="0" t="n">
        <v>250000</v>
      </c>
      <c r="T104" s="22" t="s">
        <v>32</v>
      </c>
      <c r="U104" s="22" t="s">
        <v>35</v>
      </c>
      <c r="V104" s="0" t="n">
        <v>250</v>
      </c>
      <c r="W104" s="0" t="n">
        <f aca="false">tbl_Tasks_Clean[[#This Row],[Actual_Cost]]-tbl_Tasks_Clean[[#This Row],[Planned_Cost]]</f>
        <v>-3537</v>
      </c>
      <c r="X104" s="22" t="n">
        <f aca="false">IFERROR(tbl_Tasks_Clean[[#This Row],[Actual_Cost]]/tbl_Tasks_Clean[[#This Row],[Planned_Cost]],0)</f>
        <v>0.557875</v>
      </c>
      <c r="Y104" s="22" t="str">
        <f aca="false">IF(AND(tbl_Tasks_Clean[[#This Row],[Status]]="Completed",tbl_Tasks_Clean[[#This Row],[Delay_Days]]&lt;=0),"On Time","Late")</f>
        <v>Late</v>
      </c>
      <c r="Z104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04" s="22" t="str">
        <f aca="false">INDEX(tbl_Projects[Project_Manager],MATCH(tbl_Tasks_Clean[[#This Row],[Project_ID]],tbl_Projects[Project_ID],0))</f>
        <v>Ahmed Nabil</v>
      </c>
      <c r="AB104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05" customFormat="false" ht="14.25" hidden="false" customHeight="false" outlineLevel="0" collapsed="false">
      <c r="A105" s="22" t="s">
        <v>660</v>
      </c>
      <c r="B105" s="22" t="s">
        <v>125</v>
      </c>
      <c r="C105" s="22" t="s">
        <v>126</v>
      </c>
      <c r="D105" s="22" t="s">
        <v>661</v>
      </c>
      <c r="E105" s="22" t="s">
        <v>54</v>
      </c>
      <c r="F105" s="22" t="s">
        <v>24</v>
      </c>
      <c r="G105" s="22" t="s">
        <v>275</v>
      </c>
      <c r="H105" s="22" t="s">
        <v>212</v>
      </c>
      <c r="I105" s="23" t="n">
        <v>45364</v>
      </c>
      <c r="J105" s="23" t="n">
        <v>45369</v>
      </c>
      <c r="K105" s="23"/>
      <c r="L105" s="0" t="n">
        <v>3000</v>
      </c>
      <c r="M105" s="0" t="n">
        <v>742</v>
      </c>
      <c r="N105" s="0" t="n">
        <v>5</v>
      </c>
      <c r="O105" s="0" t="n">
        <v>0</v>
      </c>
      <c r="P105" s="22" t="s">
        <v>127</v>
      </c>
      <c r="Q105" s="22" t="s">
        <v>106</v>
      </c>
      <c r="R105" s="23" t="n">
        <v>45293</v>
      </c>
      <c r="S105" s="0" t="n">
        <v>100000</v>
      </c>
      <c r="T105" s="22" t="s">
        <v>23</v>
      </c>
      <c r="U105" s="22" t="s">
        <v>22</v>
      </c>
      <c r="V105" s="0" t="n">
        <v>180</v>
      </c>
      <c r="W105" s="0" t="n">
        <f aca="false">tbl_Tasks_Clean[[#This Row],[Actual_Cost]]-tbl_Tasks_Clean[[#This Row],[Planned_Cost]]</f>
        <v>-2258</v>
      </c>
      <c r="X105" s="22" t="n">
        <f aca="false">IFERROR(tbl_Tasks_Clean[[#This Row],[Actual_Cost]]/tbl_Tasks_Clean[[#This Row],[Planned_Cost]],0)</f>
        <v>0.247333333333333</v>
      </c>
      <c r="Y105" s="22" t="str">
        <f aca="false">IF(AND(tbl_Tasks_Clean[[#This Row],[Status]]="Completed",tbl_Tasks_Clean[[#This Row],[Delay_Days]]&lt;=0),"On Time","Late")</f>
        <v>Late</v>
      </c>
      <c r="Z105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105" s="22" t="str">
        <f aca="false">INDEX(tbl_Projects[Project_Manager],MATCH(tbl_Tasks_Clean[[#This Row],[Project_ID]],tbl_Projects[Project_ID],0))</f>
        <v>Laila Samir</v>
      </c>
      <c r="AB105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06" customFormat="false" ht="14.25" hidden="false" customHeight="false" outlineLevel="0" collapsed="false">
      <c r="A106" s="22" t="s">
        <v>664</v>
      </c>
      <c r="B106" s="22" t="s">
        <v>112</v>
      </c>
      <c r="C106" s="22" t="s">
        <v>113</v>
      </c>
      <c r="D106" s="22" t="s">
        <v>665</v>
      </c>
      <c r="E106" s="22" t="s">
        <v>76</v>
      </c>
      <c r="F106" s="22" t="s">
        <v>50</v>
      </c>
      <c r="G106" s="22" t="s">
        <v>275</v>
      </c>
      <c r="H106" s="22" t="s">
        <v>194</v>
      </c>
      <c r="I106" s="23" t="n">
        <v>45474</v>
      </c>
      <c r="J106" s="23" t="n">
        <v>45493</v>
      </c>
      <c r="K106" s="23" t="n">
        <v>45504</v>
      </c>
      <c r="L106" s="0" t="n">
        <v>6000</v>
      </c>
      <c r="M106" s="0" t="n">
        <v>7892</v>
      </c>
      <c r="N106" s="0" t="n">
        <v>19</v>
      </c>
      <c r="O106" s="0" t="n">
        <v>11</v>
      </c>
      <c r="P106" s="22" t="s">
        <v>114</v>
      </c>
      <c r="Q106" s="22" t="s">
        <v>91</v>
      </c>
      <c r="R106" s="23" t="n">
        <v>45347</v>
      </c>
      <c r="S106" s="0" t="n">
        <v>120000</v>
      </c>
      <c r="T106" s="22" t="s">
        <v>49</v>
      </c>
      <c r="U106" s="22" t="s">
        <v>51</v>
      </c>
      <c r="V106" s="0" t="n">
        <v>300</v>
      </c>
      <c r="W106" s="0" t="n">
        <f aca="false">tbl_Tasks_Clean[[#This Row],[Actual_Cost]]-tbl_Tasks_Clean[[#This Row],[Planned_Cost]]</f>
        <v>1892</v>
      </c>
      <c r="X106" s="22" t="n">
        <f aca="false">IFERROR(tbl_Tasks_Clean[[#This Row],[Actual_Cost]]/tbl_Tasks_Clean[[#This Row],[Planned_Cost]],0)</f>
        <v>1.31533333333333</v>
      </c>
      <c r="Y106" s="22" t="str">
        <f aca="false">IF(AND(tbl_Tasks_Clean[[#This Row],[Status]]="Completed",tbl_Tasks_Clean[[#This Row],[Delay_Days]]&lt;=0),"On Time","Late")</f>
        <v>Late</v>
      </c>
      <c r="Z106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06" s="22" t="str">
        <f aca="false">INDEX(tbl_Projects[Project_Manager],MATCH(tbl_Tasks_Clean[[#This Row],[Project_ID]],tbl_Projects[Project_ID],0))</f>
        <v>Mona Farid</v>
      </c>
      <c r="AB106" s="22" t="str">
        <f aca="false">IF(tbl_Tasks_Clean[[#This Row],[Delay_Days]]&gt;0,"Delayed by "&amp;TEXT(DATEDIF(tbl_Tasks_Clean[[#This Row],[Planned_End_Date]],tbl_Tasks_Clean[[#This Row],[Actual_End_Date]],"d"),"0")&amp;" days","No delay")</f>
        <v>Delayed by 11 days</v>
      </c>
    </row>
    <row r="107" customFormat="false" ht="14.25" hidden="false" customHeight="false" outlineLevel="0" collapsed="false">
      <c r="A107" s="22" t="s">
        <v>668</v>
      </c>
      <c r="B107" s="22" t="s">
        <v>103</v>
      </c>
      <c r="C107" s="22" t="s">
        <v>104</v>
      </c>
      <c r="D107" s="22" t="s">
        <v>669</v>
      </c>
      <c r="E107" s="22" t="s">
        <v>34</v>
      </c>
      <c r="F107" s="22" t="s">
        <v>40</v>
      </c>
      <c r="G107" s="22" t="s">
        <v>206</v>
      </c>
      <c r="H107" s="22" t="s">
        <v>212</v>
      </c>
      <c r="I107" s="23" t="n">
        <v>45466</v>
      </c>
      <c r="J107" s="23" t="n">
        <v>45474</v>
      </c>
      <c r="K107" s="23"/>
      <c r="L107" s="0" t="n">
        <v>2000</v>
      </c>
      <c r="M107" s="0" t="n">
        <v>1080</v>
      </c>
      <c r="N107" s="0" t="n">
        <v>8</v>
      </c>
      <c r="O107" s="0" t="n">
        <v>0</v>
      </c>
      <c r="P107" s="22" t="s">
        <v>105</v>
      </c>
      <c r="Q107" s="22" t="s">
        <v>106</v>
      </c>
      <c r="R107" s="23" t="n">
        <v>45465</v>
      </c>
      <c r="S107" s="0" t="n">
        <v>75000</v>
      </c>
      <c r="T107" s="22" t="s">
        <v>39</v>
      </c>
      <c r="U107" s="22" t="s">
        <v>41</v>
      </c>
      <c r="V107" s="0" t="n">
        <v>220</v>
      </c>
      <c r="W107" s="0" t="n">
        <f aca="false">tbl_Tasks_Clean[[#This Row],[Actual_Cost]]-tbl_Tasks_Clean[[#This Row],[Planned_Cost]]</f>
        <v>-920</v>
      </c>
      <c r="X107" s="22" t="n">
        <f aca="false">IFERROR(tbl_Tasks_Clean[[#This Row],[Actual_Cost]]/tbl_Tasks_Clean[[#This Row],[Planned_Cost]],0)</f>
        <v>0.54</v>
      </c>
      <c r="Y107" s="22" t="str">
        <f aca="false">IF(AND(tbl_Tasks_Clean[[#This Row],[Status]]="Completed",tbl_Tasks_Clean[[#This Row],[Delay_Days]]&lt;=0),"On Time","Late")</f>
        <v>Late</v>
      </c>
      <c r="Z107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07" s="22" t="str">
        <f aca="false">INDEX(tbl_Projects[Project_Manager],MATCH(tbl_Tasks_Clean[[#This Row],[Project_ID]],tbl_Projects[Project_ID],0))</f>
        <v>Laila Samir</v>
      </c>
      <c r="AB107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08" customFormat="false" ht="14.25" hidden="false" customHeight="false" outlineLevel="0" collapsed="false">
      <c r="A108" s="22" t="s">
        <v>672</v>
      </c>
      <c r="B108" s="22" t="s">
        <v>103</v>
      </c>
      <c r="C108" s="22" t="s">
        <v>104</v>
      </c>
      <c r="D108" s="22" t="s">
        <v>354</v>
      </c>
      <c r="E108" s="22" t="s">
        <v>63</v>
      </c>
      <c r="F108" s="22" t="s">
        <v>60</v>
      </c>
      <c r="G108" s="22" t="s">
        <v>175</v>
      </c>
      <c r="H108" s="22" t="s">
        <v>212</v>
      </c>
      <c r="I108" s="23" t="n">
        <v>45538</v>
      </c>
      <c r="J108" s="23" t="n">
        <v>45560</v>
      </c>
      <c r="K108" s="23"/>
      <c r="L108" s="0" t="n">
        <v>3000</v>
      </c>
      <c r="M108" s="0" t="n">
        <v>1233</v>
      </c>
      <c r="N108" s="0" t="n">
        <v>22</v>
      </c>
      <c r="O108" s="0" t="n">
        <v>0</v>
      </c>
      <c r="P108" s="22" t="s">
        <v>105</v>
      </c>
      <c r="Q108" s="22" t="s">
        <v>106</v>
      </c>
      <c r="R108" s="23" t="n">
        <v>45465</v>
      </c>
      <c r="S108" s="0" t="n">
        <v>75000</v>
      </c>
      <c r="T108" s="22" t="s">
        <v>59</v>
      </c>
      <c r="U108" s="22" t="s">
        <v>58</v>
      </c>
      <c r="V108" s="0" t="n">
        <v>300</v>
      </c>
      <c r="W108" s="0" t="n">
        <f aca="false">tbl_Tasks_Clean[[#This Row],[Actual_Cost]]-tbl_Tasks_Clean[[#This Row],[Planned_Cost]]</f>
        <v>-1767</v>
      </c>
      <c r="X108" s="22" t="n">
        <f aca="false">IFERROR(tbl_Tasks_Clean[[#This Row],[Actual_Cost]]/tbl_Tasks_Clean[[#This Row],[Planned_Cost]],0)</f>
        <v>0.411</v>
      </c>
      <c r="Y108" s="22" t="str">
        <f aca="false">IF(AND(tbl_Tasks_Clean[[#This Row],[Status]]="Completed",tbl_Tasks_Clean[[#This Row],[Delay_Days]]&lt;=0),"On Time","Late")</f>
        <v>Late</v>
      </c>
      <c r="Z108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08" s="22" t="str">
        <f aca="false">INDEX(tbl_Projects[Project_Manager],MATCH(tbl_Tasks_Clean[[#This Row],[Project_ID]],tbl_Projects[Project_ID],0))</f>
        <v>Laila Samir</v>
      </c>
      <c r="AB108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09" customFormat="false" ht="14.25" hidden="false" customHeight="false" outlineLevel="0" collapsed="false">
      <c r="A109" s="22" t="s">
        <v>675</v>
      </c>
      <c r="B109" s="22" t="s">
        <v>116</v>
      </c>
      <c r="C109" s="22" t="s">
        <v>117</v>
      </c>
      <c r="D109" s="22" t="s">
        <v>676</v>
      </c>
      <c r="E109" s="22" t="s">
        <v>54</v>
      </c>
      <c r="F109" s="22" t="s">
        <v>37</v>
      </c>
      <c r="G109" s="22" t="s">
        <v>275</v>
      </c>
      <c r="H109" s="22" t="s">
        <v>212</v>
      </c>
      <c r="I109" s="23" t="n">
        <v>45544</v>
      </c>
      <c r="J109" s="23" t="n">
        <v>45564</v>
      </c>
      <c r="K109" s="23"/>
      <c r="L109" s="0" t="n">
        <v>6000</v>
      </c>
      <c r="M109" s="0" t="n">
        <v>1369</v>
      </c>
      <c r="N109" s="0" t="n">
        <v>20</v>
      </c>
      <c r="O109" s="0" t="n">
        <v>0</v>
      </c>
      <c r="P109" s="22" t="s">
        <v>118</v>
      </c>
      <c r="Q109" s="22" t="s">
        <v>106</v>
      </c>
      <c r="R109" s="23" t="n">
        <v>45435</v>
      </c>
      <c r="S109" s="0" t="n">
        <v>120000</v>
      </c>
      <c r="T109" s="22" t="s">
        <v>36</v>
      </c>
      <c r="U109" s="22" t="s">
        <v>38</v>
      </c>
      <c r="V109" s="0" t="n">
        <v>280</v>
      </c>
      <c r="W109" s="0" t="n">
        <f aca="false">tbl_Tasks_Clean[[#This Row],[Actual_Cost]]-tbl_Tasks_Clean[[#This Row],[Planned_Cost]]</f>
        <v>-4631</v>
      </c>
      <c r="X109" s="22" t="n">
        <f aca="false">IFERROR(tbl_Tasks_Clean[[#This Row],[Actual_Cost]]/tbl_Tasks_Clean[[#This Row],[Planned_Cost]],0)</f>
        <v>0.228166666666667</v>
      </c>
      <c r="Y109" s="22" t="str">
        <f aca="false">IF(AND(tbl_Tasks_Clean[[#This Row],[Status]]="Completed",tbl_Tasks_Clean[[#This Row],[Delay_Days]]&lt;=0),"On Time","Late")</f>
        <v>Late</v>
      </c>
      <c r="Z109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09" s="22" t="str">
        <f aca="false">INDEX(tbl_Projects[Project_Manager],MATCH(tbl_Tasks_Clean[[#This Row],[Project_ID]],tbl_Projects[Project_ID],0))</f>
        <v>Laila Samir</v>
      </c>
      <c r="AB109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10" customFormat="false" ht="14.25" hidden="false" customHeight="false" outlineLevel="0" collapsed="false">
      <c r="A110" s="22" t="s">
        <v>679</v>
      </c>
      <c r="B110" s="22" t="s">
        <v>103</v>
      </c>
      <c r="C110" s="22" t="s">
        <v>104</v>
      </c>
      <c r="D110" s="22" t="s">
        <v>547</v>
      </c>
      <c r="E110" s="22" t="s">
        <v>34</v>
      </c>
      <c r="F110" s="22" t="s">
        <v>37</v>
      </c>
      <c r="G110" s="22" t="s">
        <v>275</v>
      </c>
      <c r="H110" s="22" t="s">
        <v>194</v>
      </c>
      <c r="I110" s="23" t="n">
        <v>45486</v>
      </c>
      <c r="J110" s="23" t="n">
        <v>45491</v>
      </c>
      <c r="K110" s="23" t="n">
        <v>45501</v>
      </c>
      <c r="L110" s="0" t="n">
        <v>1500</v>
      </c>
      <c r="M110" s="0" t="n">
        <v>1832</v>
      </c>
      <c r="N110" s="0" t="n">
        <v>5</v>
      </c>
      <c r="O110" s="0" t="n">
        <v>10</v>
      </c>
      <c r="P110" s="22" t="s">
        <v>105</v>
      </c>
      <c r="Q110" s="22" t="s">
        <v>106</v>
      </c>
      <c r="R110" s="23" t="n">
        <v>45465</v>
      </c>
      <c r="S110" s="0" t="n">
        <v>75000</v>
      </c>
      <c r="T110" s="22" t="s">
        <v>36</v>
      </c>
      <c r="U110" s="22" t="s">
        <v>38</v>
      </c>
      <c r="V110" s="0" t="n">
        <v>280</v>
      </c>
      <c r="W110" s="0" t="n">
        <f aca="false">tbl_Tasks_Clean[[#This Row],[Actual_Cost]]-tbl_Tasks_Clean[[#This Row],[Planned_Cost]]</f>
        <v>332</v>
      </c>
      <c r="X110" s="22" t="n">
        <f aca="false">IFERROR(tbl_Tasks_Clean[[#This Row],[Actual_Cost]]/tbl_Tasks_Clean[[#This Row],[Planned_Cost]],0)</f>
        <v>1.22133333333333</v>
      </c>
      <c r="Y110" s="22" t="str">
        <f aca="false">IF(AND(tbl_Tasks_Clean[[#This Row],[Status]]="Completed",tbl_Tasks_Clean[[#This Row],[Delay_Days]]&lt;=0),"On Time","Late")</f>
        <v>Late</v>
      </c>
      <c r="Z110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110" s="22" t="str">
        <f aca="false">INDEX(tbl_Projects[Project_Manager],MATCH(tbl_Tasks_Clean[[#This Row],[Project_ID]],tbl_Projects[Project_ID],0))</f>
        <v>Laila Samir</v>
      </c>
      <c r="AB110" s="22" t="str">
        <f aca="false">IF(tbl_Tasks_Clean[[#This Row],[Delay_Days]]&gt;0,"Delayed by "&amp;TEXT(DATEDIF(tbl_Tasks_Clean[[#This Row],[Planned_End_Date]],tbl_Tasks_Clean[[#This Row],[Actual_End_Date]],"d"),"0")&amp;" days","No delay")</f>
        <v>Delayed by 10 days</v>
      </c>
    </row>
    <row r="111" customFormat="false" ht="14.25" hidden="false" customHeight="false" outlineLevel="0" collapsed="false">
      <c r="A111" s="22" t="s">
        <v>683</v>
      </c>
      <c r="B111" s="22" t="s">
        <v>143</v>
      </c>
      <c r="C111" s="22" t="s">
        <v>144</v>
      </c>
      <c r="D111" s="22" t="s">
        <v>684</v>
      </c>
      <c r="E111" s="22" t="s">
        <v>44</v>
      </c>
      <c r="F111" s="22" t="s">
        <v>66</v>
      </c>
      <c r="G111" s="22" t="s">
        <v>275</v>
      </c>
      <c r="H111" s="22" t="s">
        <v>212</v>
      </c>
      <c r="I111" s="23" t="n">
        <v>45338</v>
      </c>
      <c r="J111" s="23" t="n">
        <v>45358</v>
      </c>
      <c r="K111" s="23"/>
      <c r="L111" s="0" t="n">
        <v>2500</v>
      </c>
      <c r="M111" s="0" t="n">
        <v>895</v>
      </c>
      <c r="N111" s="0" t="n">
        <v>20</v>
      </c>
      <c r="O111" s="0" t="n">
        <v>0</v>
      </c>
      <c r="P111" s="22" t="s">
        <v>145</v>
      </c>
      <c r="Q111" s="22" t="s">
        <v>101</v>
      </c>
      <c r="R111" s="23" t="n">
        <v>45303</v>
      </c>
      <c r="S111" s="0" t="n">
        <v>300000</v>
      </c>
      <c r="T111" s="22" t="s">
        <v>65</v>
      </c>
      <c r="U111" s="22" t="s">
        <v>67</v>
      </c>
      <c r="V111" s="0" t="n">
        <v>250</v>
      </c>
      <c r="W111" s="0" t="n">
        <f aca="false">tbl_Tasks_Clean[[#This Row],[Actual_Cost]]-tbl_Tasks_Clean[[#This Row],[Planned_Cost]]</f>
        <v>-1605</v>
      </c>
      <c r="X111" s="22" t="n">
        <f aca="false">IFERROR(tbl_Tasks_Clean[[#This Row],[Actual_Cost]]/tbl_Tasks_Clean[[#This Row],[Planned_Cost]],0)</f>
        <v>0.358</v>
      </c>
      <c r="Y111" s="22" t="str">
        <f aca="false">IF(AND(tbl_Tasks_Clean[[#This Row],[Status]]="Completed",tbl_Tasks_Clean[[#This Row],[Delay_Days]]&lt;=0),"On Time","Late")</f>
        <v>Late</v>
      </c>
      <c r="Z111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11" s="22" t="str">
        <f aca="false">INDEX(tbl_Projects[Project_Manager],MATCH(tbl_Tasks_Clean[[#This Row],[Project_ID]],tbl_Projects[Project_ID],0))</f>
        <v>Ahmed Nabil</v>
      </c>
      <c r="AB111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12" customFormat="false" ht="14.25" hidden="false" customHeight="false" outlineLevel="0" collapsed="false">
      <c r="A112" s="22" t="s">
        <v>687</v>
      </c>
      <c r="B112" s="22" t="s">
        <v>143</v>
      </c>
      <c r="C112" s="22" t="s">
        <v>144</v>
      </c>
      <c r="D112" s="22" t="s">
        <v>688</v>
      </c>
      <c r="E112" s="22" t="s">
        <v>54</v>
      </c>
      <c r="F112" s="22" t="s">
        <v>20</v>
      </c>
      <c r="G112" s="22" t="s">
        <v>206</v>
      </c>
      <c r="H112" s="22" t="s">
        <v>239</v>
      </c>
      <c r="I112" s="23" t="n">
        <v>45426</v>
      </c>
      <c r="J112" s="23" t="n">
        <v>45450</v>
      </c>
      <c r="K112" s="23" t="n">
        <v>45450</v>
      </c>
      <c r="L112" s="0" t="n">
        <v>6000</v>
      </c>
      <c r="M112" s="0" t="n">
        <v>5085</v>
      </c>
      <c r="N112" s="0" t="n">
        <v>24</v>
      </c>
      <c r="O112" s="0" t="n">
        <v>0</v>
      </c>
      <c r="P112" s="22" t="s">
        <v>145</v>
      </c>
      <c r="Q112" s="22" t="s">
        <v>101</v>
      </c>
      <c r="R112" s="23" t="n">
        <v>45303</v>
      </c>
      <c r="S112" s="0" t="n">
        <v>300000</v>
      </c>
      <c r="T112" s="22" t="s">
        <v>19</v>
      </c>
      <c r="U112" s="22" t="s">
        <v>22</v>
      </c>
      <c r="V112" s="0" t="n">
        <v>180</v>
      </c>
      <c r="W112" s="0" t="n">
        <f aca="false">tbl_Tasks_Clean[[#This Row],[Actual_Cost]]-tbl_Tasks_Clean[[#This Row],[Planned_Cost]]</f>
        <v>-915</v>
      </c>
      <c r="X112" s="22" t="n">
        <f aca="false">IFERROR(tbl_Tasks_Clean[[#This Row],[Actual_Cost]]/tbl_Tasks_Clean[[#This Row],[Planned_Cost]],0)</f>
        <v>0.8475</v>
      </c>
      <c r="Y112" s="22" t="str">
        <f aca="false">IF(AND(tbl_Tasks_Clean[[#This Row],[Status]]="Completed",tbl_Tasks_Clean[[#This Row],[Delay_Days]]&lt;=0),"On Time","Late")</f>
        <v>On Time</v>
      </c>
      <c r="Z112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12" s="22" t="str">
        <f aca="false">INDEX(tbl_Projects[Project_Manager],MATCH(tbl_Tasks_Clean[[#This Row],[Project_ID]],tbl_Projects[Project_ID],0))</f>
        <v>Ahmed Nabil</v>
      </c>
      <c r="AB112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13" customFormat="false" ht="14.25" hidden="false" customHeight="false" outlineLevel="0" collapsed="false">
      <c r="A113" s="22" t="s">
        <v>691</v>
      </c>
      <c r="B113" s="22" t="s">
        <v>108</v>
      </c>
      <c r="C113" s="22" t="s">
        <v>109</v>
      </c>
      <c r="D113" s="22" t="s">
        <v>537</v>
      </c>
      <c r="E113" s="22" t="s">
        <v>44</v>
      </c>
      <c r="F113" s="22" t="s">
        <v>26</v>
      </c>
      <c r="G113" s="22" t="s">
        <v>206</v>
      </c>
      <c r="H113" s="22" t="s">
        <v>212</v>
      </c>
      <c r="I113" s="23" t="n">
        <v>45372</v>
      </c>
      <c r="J113" s="23" t="n">
        <v>45399</v>
      </c>
      <c r="K113" s="23"/>
      <c r="L113" s="0" t="n">
        <v>6000</v>
      </c>
      <c r="M113" s="0" t="n">
        <v>2042</v>
      </c>
      <c r="N113" s="0" t="n">
        <v>27</v>
      </c>
      <c r="O113" s="0" t="n">
        <v>0</v>
      </c>
      <c r="P113" s="22" t="s">
        <v>110</v>
      </c>
      <c r="Q113" s="22" t="s">
        <v>101</v>
      </c>
      <c r="R113" s="23" t="n">
        <v>45300</v>
      </c>
      <c r="S113" s="0" t="n">
        <v>50000</v>
      </c>
      <c r="T113" s="22" t="s">
        <v>25</v>
      </c>
      <c r="U113" s="22" t="s">
        <v>27</v>
      </c>
      <c r="V113" s="0" t="n">
        <v>200</v>
      </c>
      <c r="W113" s="0" t="n">
        <f aca="false">tbl_Tasks_Clean[[#This Row],[Actual_Cost]]-tbl_Tasks_Clean[[#This Row],[Planned_Cost]]</f>
        <v>-3958</v>
      </c>
      <c r="X113" s="22" t="n">
        <f aca="false">IFERROR(tbl_Tasks_Clean[[#This Row],[Actual_Cost]]/tbl_Tasks_Clean[[#This Row],[Planned_Cost]],0)</f>
        <v>0.340333333333333</v>
      </c>
      <c r="Y113" s="22" t="str">
        <f aca="false">IF(AND(tbl_Tasks_Clean[[#This Row],[Status]]="Completed",tbl_Tasks_Clean[[#This Row],[Delay_Days]]&lt;=0),"On Time","Late")</f>
        <v>Late</v>
      </c>
      <c r="Z113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13" s="22" t="str">
        <f aca="false">INDEX(tbl_Projects[Project_Manager],MATCH(tbl_Tasks_Clean[[#This Row],[Project_ID]],tbl_Projects[Project_ID],0))</f>
        <v>Ahmed Nabil</v>
      </c>
      <c r="AB113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14" customFormat="false" ht="14.25" hidden="false" customHeight="false" outlineLevel="0" collapsed="false">
      <c r="A114" s="22" t="s">
        <v>694</v>
      </c>
      <c r="B114" s="22" t="s">
        <v>125</v>
      </c>
      <c r="C114" s="22" t="s">
        <v>126</v>
      </c>
      <c r="D114" s="22" t="s">
        <v>421</v>
      </c>
      <c r="E114" s="22" t="s">
        <v>76</v>
      </c>
      <c r="F114" s="22" t="s">
        <v>62</v>
      </c>
      <c r="G114" s="22" t="s">
        <v>275</v>
      </c>
      <c r="H114" s="22" t="s">
        <v>212</v>
      </c>
      <c r="I114" s="23" t="n">
        <v>45443</v>
      </c>
      <c r="J114" s="23" t="n">
        <v>45468</v>
      </c>
      <c r="K114" s="23"/>
      <c r="L114" s="0" t="n">
        <v>4000</v>
      </c>
      <c r="M114" s="0" t="n">
        <v>2867</v>
      </c>
      <c r="N114" s="0" t="n">
        <v>25</v>
      </c>
      <c r="O114" s="0" t="n">
        <v>0</v>
      </c>
      <c r="P114" s="22" t="s">
        <v>127</v>
      </c>
      <c r="Q114" s="22" t="s">
        <v>106</v>
      </c>
      <c r="R114" s="23" t="n">
        <v>45293</v>
      </c>
      <c r="S114" s="0" t="n">
        <v>100000</v>
      </c>
      <c r="T114" s="22" t="s">
        <v>61</v>
      </c>
      <c r="U114" s="22" t="s">
        <v>64</v>
      </c>
      <c r="V114" s="0" t="n">
        <v>150</v>
      </c>
      <c r="W114" s="0" t="n">
        <f aca="false">tbl_Tasks_Clean[[#This Row],[Actual_Cost]]-tbl_Tasks_Clean[[#This Row],[Planned_Cost]]</f>
        <v>-1133</v>
      </c>
      <c r="X114" s="22" t="n">
        <f aca="false">IFERROR(tbl_Tasks_Clean[[#This Row],[Actual_Cost]]/tbl_Tasks_Clean[[#This Row],[Planned_Cost]],0)</f>
        <v>0.71675</v>
      </c>
      <c r="Y114" s="22" t="str">
        <f aca="false">IF(AND(tbl_Tasks_Clean[[#This Row],[Status]]="Completed",tbl_Tasks_Clean[[#This Row],[Delay_Days]]&lt;=0),"On Time","Late")</f>
        <v>Late</v>
      </c>
      <c r="Z114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14" s="22" t="str">
        <f aca="false">INDEX(tbl_Projects[Project_Manager],MATCH(tbl_Tasks_Clean[[#This Row],[Project_ID]],tbl_Projects[Project_ID],0))</f>
        <v>Laila Samir</v>
      </c>
      <c r="AB114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15" customFormat="false" ht="14.25" hidden="false" customHeight="false" outlineLevel="0" collapsed="false">
      <c r="A115" s="22" t="s">
        <v>697</v>
      </c>
      <c r="B115" s="22" t="s">
        <v>143</v>
      </c>
      <c r="C115" s="22" t="s">
        <v>144</v>
      </c>
      <c r="D115" s="22" t="s">
        <v>566</v>
      </c>
      <c r="E115" s="22" t="s">
        <v>7</v>
      </c>
      <c r="F115" s="22" t="s">
        <v>75</v>
      </c>
      <c r="G115" s="22" t="s">
        <v>275</v>
      </c>
      <c r="H115" s="22" t="s">
        <v>239</v>
      </c>
      <c r="I115" s="23" t="n">
        <v>45336</v>
      </c>
      <c r="J115" s="23" t="n">
        <v>45358</v>
      </c>
      <c r="K115" s="23" t="n">
        <v>45359</v>
      </c>
      <c r="L115" s="0" t="n">
        <v>1000</v>
      </c>
      <c r="M115" s="0" t="n">
        <v>1328</v>
      </c>
      <c r="N115" s="0" t="n">
        <v>22</v>
      </c>
      <c r="O115" s="0" t="n">
        <v>1</v>
      </c>
      <c r="P115" s="22" t="s">
        <v>145</v>
      </c>
      <c r="Q115" s="22" t="s">
        <v>101</v>
      </c>
      <c r="R115" s="23" t="n">
        <v>45303</v>
      </c>
      <c r="S115" s="0" t="n">
        <v>300000</v>
      </c>
      <c r="T115" s="22" t="s">
        <v>74</v>
      </c>
      <c r="U115" s="22" t="s">
        <v>77</v>
      </c>
      <c r="V115" s="0" t="n">
        <v>250</v>
      </c>
      <c r="W115" s="0" t="n">
        <f aca="false">tbl_Tasks_Clean[[#This Row],[Actual_Cost]]-tbl_Tasks_Clean[[#This Row],[Planned_Cost]]</f>
        <v>328</v>
      </c>
      <c r="X115" s="22" t="n">
        <f aca="false">IFERROR(tbl_Tasks_Clean[[#This Row],[Actual_Cost]]/tbl_Tasks_Clean[[#This Row],[Planned_Cost]],0)</f>
        <v>1.328</v>
      </c>
      <c r="Y115" s="22" t="str">
        <f aca="false">IF(AND(tbl_Tasks_Clean[[#This Row],[Status]]="Completed",tbl_Tasks_Clean[[#This Row],[Delay_Days]]&lt;=0),"On Time","Late")</f>
        <v>Late</v>
      </c>
      <c r="Z115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15" s="22" t="str">
        <f aca="false">INDEX(tbl_Projects[Project_Manager],MATCH(tbl_Tasks_Clean[[#This Row],[Project_ID]],tbl_Projects[Project_ID],0))</f>
        <v>Ahmed Nabil</v>
      </c>
      <c r="AB115" s="22" t="str">
        <f aca="false">IF(tbl_Tasks_Clean[[#This Row],[Delay_Days]]&gt;0,"Delayed by "&amp;TEXT(DATEDIF(tbl_Tasks_Clean[[#This Row],[Planned_End_Date]],tbl_Tasks_Clean[[#This Row],[Actual_End_Date]],"d"),"0")&amp;" days","No delay")</f>
        <v>Delayed by 1 days</v>
      </c>
    </row>
    <row r="116" customFormat="false" ht="14.25" hidden="false" customHeight="false" outlineLevel="0" collapsed="false">
      <c r="A116" s="22" t="s">
        <v>700</v>
      </c>
      <c r="B116" s="22" t="s">
        <v>88</v>
      </c>
      <c r="C116" s="22" t="s">
        <v>89</v>
      </c>
      <c r="D116" s="22" t="s">
        <v>498</v>
      </c>
      <c r="E116" s="22" t="s">
        <v>63</v>
      </c>
      <c r="F116" s="22" t="s">
        <v>24</v>
      </c>
      <c r="G116" s="22" t="s">
        <v>206</v>
      </c>
      <c r="H116" s="22" t="s">
        <v>212</v>
      </c>
      <c r="I116" s="23" t="n">
        <v>45586</v>
      </c>
      <c r="J116" s="23" t="n">
        <v>45596</v>
      </c>
      <c r="K116" s="23"/>
      <c r="L116" s="0" t="n">
        <v>3000</v>
      </c>
      <c r="M116" s="0" t="n">
        <v>1804</v>
      </c>
      <c r="N116" s="0" t="n">
        <v>10</v>
      </c>
      <c r="O116" s="0" t="n">
        <v>0</v>
      </c>
      <c r="P116" s="22" t="s">
        <v>90</v>
      </c>
      <c r="Q116" s="22" t="s">
        <v>91</v>
      </c>
      <c r="R116" s="23" t="n">
        <v>45455</v>
      </c>
      <c r="S116" s="0" t="n">
        <v>75000</v>
      </c>
      <c r="T116" s="22" t="s">
        <v>23</v>
      </c>
      <c r="U116" s="22" t="s">
        <v>22</v>
      </c>
      <c r="V116" s="0" t="n">
        <v>180</v>
      </c>
      <c r="W116" s="0" t="n">
        <f aca="false">tbl_Tasks_Clean[[#This Row],[Actual_Cost]]-tbl_Tasks_Clean[[#This Row],[Planned_Cost]]</f>
        <v>-1196</v>
      </c>
      <c r="X116" s="22" t="n">
        <f aca="false">IFERROR(tbl_Tasks_Clean[[#This Row],[Actual_Cost]]/tbl_Tasks_Clean[[#This Row],[Planned_Cost]],0)</f>
        <v>0.601333333333333</v>
      </c>
      <c r="Y116" s="22" t="str">
        <f aca="false">IF(AND(tbl_Tasks_Clean[[#This Row],[Status]]="Completed",tbl_Tasks_Clean[[#This Row],[Delay_Days]]&lt;=0),"On Time","Late")</f>
        <v>Late</v>
      </c>
      <c r="Z116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16" s="22" t="str">
        <f aca="false">INDEX(tbl_Projects[Project_Manager],MATCH(tbl_Tasks_Clean[[#This Row],[Project_ID]],tbl_Projects[Project_ID],0))</f>
        <v>Mona Farid</v>
      </c>
      <c r="AB116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17" customFormat="false" ht="14.25" hidden="false" customHeight="false" outlineLevel="0" collapsed="false">
      <c r="A117" s="22" t="s">
        <v>703</v>
      </c>
      <c r="B117" s="22" t="s">
        <v>120</v>
      </c>
      <c r="C117" s="22" t="s">
        <v>121</v>
      </c>
      <c r="D117" s="22" t="s">
        <v>387</v>
      </c>
      <c r="E117" s="22" t="s">
        <v>21</v>
      </c>
      <c r="F117" s="22" t="s">
        <v>31</v>
      </c>
      <c r="G117" s="22" t="s">
        <v>175</v>
      </c>
      <c r="H117" s="22" t="s">
        <v>239</v>
      </c>
      <c r="I117" s="23" t="n">
        <v>45429</v>
      </c>
      <c r="J117" s="23" t="n">
        <v>45443</v>
      </c>
      <c r="K117" s="23" t="n">
        <v>45440</v>
      </c>
      <c r="L117" s="0" t="n">
        <v>1500</v>
      </c>
      <c r="M117" s="0" t="n">
        <v>1055</v>
      </c>
      <c r="N117" s="0" t="n">
        <v>14</v>
      </c>
      <c r="O117" s="0" t="n">
        <v>-3</v>
      </c>
      <c r="P117" s="22" t="s">
        <v>122</v>
      </c>
      <c r="Q117" s="22" t="s">
        <v>123</v>
      </c>
      <c r="R117" s="23" t="n">
        <v>45348</v>
      </c>
      <c r="S117" s="0" t="n">
        <v>300000</v>
      </c>
      <c r="T117" s="22" t="s">
        <v>30</v>
      </c>
      <c r="U117" s="22" t="s">
        <v>27</v>
      </c>
      <c r="V117" s="0" t="n">
        <v>220</v>
      </c>
      <c r="W117" s="0" t="n">
        <f aca="false">tbl_Tasks_Clean[[#This Row],[Actual_Cost]]-tbl_Tasks_Clean[[#This Row],[Planned_Cost]]</f>
        <v>-445</v>
      </c>
      <c r="X117" s="22" t="n">
        <f aca="false">IFERROR(tbl_Tasks_Clean[[#This Row],[Actual_Cost]]/tbl_Tasks_Clean[[#This Row],[Planned_Cost]],0)</f>
        <v>0.703333333333333</v>
      </c>
      <c r="Y117" s="22" t="str">
        <f aca="false">IF(AND(tbl_Tasks_Clean[[#This Row],[Status]]="Completed",tbl_Tasks_Clean[[#This Row],[Delay_Days]]&lt;=0),"On Time","Late")</f>
        <v>On Time</v>
      </c>
      <c r="Z117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17" s="22" t="str">
        <f aca="false">INDEX(tbl_Projects[Project_Manager],MATCH(tbl_Tasks_Clean[[#This Row],[Project_ID]],tbl_Projects[Project_ID],0))</f>
        <v>Nourhan Tarek</v>
      </c>
      <c r="AB117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18" customFormat="false" ht="14.25" hidden="false" customHeight="false" outlineLevel="0" collapsed="false">
      <c r="A118" s="22" t="s">
        <v>706</v>
      </c>
      <c r="B118" s="22" t="s">
        <v>120</v>
      </c>
      <c r="C118" s="22" t="s">
        <v>121</v>
      </c>
      <c r="D118" s="22" t="s">
        <v>707</v>
      </c>
      <c r="E118" s="22" t="s">
        <v>54</v>
      </c>
      <c r="F118" s="22" t="s">
        <v>53</v>
      </c>
      <c r="G118" s="22" t="s">
        <v>206</v>
      </c>
      <c r="H118" s="22" t="s">
        <v>194</v>
      </c>
      <c r="I118" s="23" t="n">
        <v>45350</v>
      </c>
      <c r="J118" s="23" t="n">
        <v>45356</v>
      </c>
      <c r="K118" s="23" t="n">
        <v>45361</v>
      </c>
      <c r="L118" s="0" t="n">
        <v>2500</v>
      </c>
      <c r="M118" s="0" t="n">
        <v>2644</v>
      </c>
      <c r="N118" s="0" t="n">
        <v>6</v>
      </c>
      <c r="O118" s="0" t="n">
        <v>5</v>
      </c>
      <c r="P118" s="22" t="s">
        <v>122</v>
      </c>
      <c r="Q118" s="22" t="s">
        <v>123</v>
      </c>
      <c r="R118" s="23" t="n">
        <v>45348</v>
      </c>
      <c r="S118" s="0" t="n">
        <v>300000</v>
      </c>
      <c r="T118" s="22" t="s">
        <v>52</v>
      </c>
      <c r="U118" s="22" t="s">
        <v>55</v>
      </c>
      <c r="V118" s="0" t="n">
        <v>180</v>
      </c>
      <c r="W118" s="0" t="n">
        <f aca="false">tbl_Tasks_Clean[[#This Row],[Actual_Cost]]-tbl_Tasks_Clean[[#This Row],[Planned_Cost]]</f>
        <v>144</v>
      </c>
      <c r="X118" s="22" t="n">
        <f aca="false">IFERROR(tbl_Tasks_Clean[[#This Row],[Actual_Cost]]/tbl_Tasks_Clean[[#This Row],[Planned_Cost]],0)</f>
        <v>1.0576</v>
      </c>
      <c r="Y118" s="22" t="str">
        <f aca="false">IF(AND(tbl_Tasks_Clean[[#This Row],[Status]]="Completed",tbl_Tasks_Clean[[#This Row],[Delay_Days]]&lt;=0),"On Time","Late")</f>
        <v>Late</v>
      </c>
      <c r="Z118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118" s="22" t="str">
        <f aca="false">INDEX(tbl_Projects[Project_Manager],MATCH(tbl_Tasks_Clean[[#This Row],[Project_ID]],tbl_Projects[Project_ID],0))</f>
        <v>Nourhan Tarek</v>
      </c>
      <c r="AB118" s="22" t="str">
        <f aca="false">IF(tbl_Tasks_Clean[[#This Row],[Delay_Days]]&gt;0,"Delayed by "&amp;TEXT(DATEDIF(tbl_Tasks_Clean[[#This Row],[Planned_End_Date]],tbl_Tasks_Clean[[#This Row],[Actual_End_Date]],"d"),"0")&amp;" days","No delay")</f>
        <v>Delayed by 5 days</v>
      </c>
    </row>
    <row r="119" customFormat="false" ht="14.25" hidden="false" customHeight="false" outlineLevel="0" collapsed="false">
      <c r="A119" s="22" t="s">
        <v>712</v>
      </c>
      <c r="B119" s="22" t="s">
        <v>136</v>
      </c>
      <c r="C119" s="22" t="s">
        <v>137</v>
      </c>
      <c r="D119" s="22" t="s">
        <v>231</v>
      </c>
      <c r="E119" s="22" t="s">
        <v>44</v>
      </c>
      <c r="F119" s="22" t="s">
        <v>69</v>
      </c>
      <c r="G119" s="22" t="s">
        <v>275</v>
      </c>
      <c r="H119" s="22" t="s">
        <v>212</v>
      </c>
      <c r="I119" s="23" t="n">
        <v>45325</v>
      </c>
      <c r="J119" s="23" t="n">
        <v>45355</v>
      </c>
      <c r="K119" s="23"/>
      <c r="L119" s="0" t="n">
        <v>3000</v>
      </c>
      <c r="M119" s="0" t="n">
        <v>1248</v>
      </c>
      <c r="N119" s="0" t="n">
        <v>30</v>
      </c>
      <c r="O119" s="0" t="n">
        <v>0</v>
      </c>
      <c r="P119" s="22" t="s">
        <v>138</v>
      </c>
      <c r="Q119" s="22" t="s">
        <v>101</v>
      </c>
      <c r="R119" s="23" t="n">
        <v>45315</v>
      </c>
      <c r="S119" s="0" t="n">
        <v>250000</v>
      </c>
      <c r="T119" s="22" t="s">
        <v>68</v>
      </c>
      <c r="U119" s="22" t="s">
        <v>67</v>
      </c>
      <c r="V119" s="0" t="n">
        <v>180</v>
      </c>
      <c r="W119" s="0" t="n">
        <f aca="false">tbl_Tasks_Clean[[#This Row],[Actual_Cost]]-tbl_Tasks_Clean[[#This Row],[Planned_Cost]]</f>
        <v>-1752</v>
      </c>
      <c r="X119" s="22" t="n">
        <f aca="false">IFERROR(tbl_Tasks_Clean[[#This Row],[Actual_Cost]]/tbl_Tasks_Clean[[#This Row],[Planned_Cost]],0)</f>
        <v>0.416</v>
      </c>
      <c r="Y119" s="22" t="str">
        <f aca="false">IF(AND(tbl_Tasks_Clean[[#This Row],[Status]]="Completed",tbl_Tasks_Clean[[#This Row],[Delay_Days]]&lt;=0),"On Time","Late")</f>
        <v>Late</v>
      </c>
      <c r="Z119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19" s="22" t="str">
        <f aca="false">INDEX(tbl_Projects[Project_Manager],MATCH(tbl_Tasks_Clean[[#This Row],[Project_ID]],tbl_Projects[Project_ID],0))</f>
        <v>Ahmed Nabil</v>
      </c>
      <c r="AB119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20" customFormat="false" ht="14.25" hidden="false" customHeight="false" outlineLevel="0" collapsed="false">
      <c r="A120" s="22" t="s">
        <v>716</v>
      </c>
      <c r="B120" s="22" t="s">
        <v>93</v>
      </c>
      <c r="C120" s="22" t="s">
        <v>94</v>
      </c>
      <c r="D120" s="22" t="s">
        <v>498</v>
      </c>
      <c r="E120" s="22" t="s">
        <v>7</v>
      </c>
      <c r="F120" s="22" t="s">
        <v>10</v>
      </c>
      <c r="G120" s="22" t="s">
        <v>275</v>
      </c>
      <c r="H120" s="22" t="s">
        <v>194</v>
      </c>
      <c r="I120" s="23" t="n">
        <v>45583</v>
      </c>
      <c r="J120" s="23" t="n">
        <v>45601</v>
      </c>
      <c r="K120" s="23" t="n">
        <v>45600</v>
      </c>
      <c r="L120" s="0" t="n">
        <v>10000</v>
      </c>
      <c r="M120" s="0" t="n">
        <v>11406</v>
      </c>
      <c r="N120" s="0" t="n">
        <v>18</v>
      </c>
      <c r="O120" s="0" t="n">
        <v>-1</v>
      </c>
      <c r="P120" s="22" t="s">
        <v>95</v>
      </c>
      <c r="Q120" s="22" t="s">
        <v>96</v>
      </c>
      <c r="R120" s="23" t="n">
        <v>45481</v>
      </c>
      <c r="S120" s="0" t="n">
        <v>150000</v>
      </c>
      <c r="T120" s="22" t="s">
        <v>9</v>
      </c>
      <c r="U120" s="22" t="s">
        <v>8</v>
      </c>
      <c r="V120" s="0" t="n">
        <v>220</v>
      </c>
      <c r="W120" s="0" t="n">
        <f aca="false">tbl_Tasks_Clean[[#This Row],[Actual_Cost]]-tbl_Tasks_Clean[[#This Row],[Planned_Cost]]</f>
        <v>1406</v>
      </c>
      <c r="X120" s="22" t="n">
        <f aca="false">IFERROR(tbl_Tasks_Clean[[#This Row],[Actual_Cost]]/tbl_Tasks_Clean[[#This Row],[Planned_Cost]],0)</f>
        <v>1.1406</v>
      </c>
      <c r="Y120" s="22" t="str">
        <f aca="false">IF(AND(tbl_Tasks_Clean[[#This Row],[Status]]="Completed",tbl_Tasks_Clean[[#This Row],[Delay_Days]]&lt;=0),"On Time","Late")</f>
        <v>Late</v>
      </c>
      <c r="Z120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20" s="22" t="str">
        <f aca="false">INDEX(tbl_Projects[Project_Manager],MATCH(tbl_Tasks_Clean[[#This Row],[Project_ID]],tbl_Projects[Project_ID],0))</f>
        <v>Youssef Adel</v>
      </c>
      <c r="AB120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21" customFormat="false" ht="14.25" hidden="false" customHeight="false" outlineLevel="0" collapsed="false">
      <c r="A121" s="22" t="s">
        <v>720</v>
      </c>
      <c r="B121" s="22" t="s">
        <v>88</v>
      </c>
      <c r="C121" s="22" t="s">
        <v>89</v>
      </c>
      <c r="D121" s="22" t="s">
        <v>280</v>
      </c>
      <c r="E121" s="22" t="s">
        <v>63</v>
      </c>
      <c r="F121" s="22" t="s">
        <v>33</v>
      </c>
      <c r="G121" s="22" t="s">
        <v>206</v>
      </c>
      <c r="H121" s="22" t="s">
        <v>212</v>
      </c>
      <c r="I121" s="23" t="n">
        <v>45570</v>
      </c>
      <c r="J121" s="23" t="n">
        <v>45576</v>
      </c>
      <c r="K121" s="23"/>
      <c r="L121" s="0" t="n">
        <v>2500</v>
      </c>
      <c r="M121" s="0" t="n">
        <v>837</v>
      </c>
      <c r="N121" s="0" t="n">
        <v>6</v>
      </c>
      <c r="O121" s="0" t="n">
        <v>0</v>
      </c>
      <c r="P121" s="22" t="s">
        <v>90</v>
      </c>
      <c r="Q121" s="22" t="s">
        <v>91</v>
      </c>
      <c r="R121" s="23" t="n">
        <v>45455</v>
      </c>
      <c r="S121" s="0" t="n">
        <v>75000</v>
      </c>
      <c r="T121" s="22" t="s">
        <v>32</v>
      </c>
      <c r="U121" s="22" t="s">
        <v>35</v>
      </c>
      <c r="V121" s="0" t="n">
        <v>250</v>
      </c>
      <c r="W121" s="0" t="n">
        <f aca="false">tbl_Tasks_Clean[[#This Row],[Actual_Cost]]-tbl_Tasks_Clean[[#This Row],[Planned_Cost]]</f>
        <v>-1663</v>
      </c>
      <c r="X121" s="22" t="n">
        <f aca="false">IFERROR(tbl_Tasks_Clean[[#This Row],[Actual_Cost]]/tbl_Tasks_Clean[[#This Row],[Planned_Cost]],0)</f>
        <v>0.3348</v>
      </c>
      <c r="Y121" s="22" t="str">
        <f aca="false">IF(AND(tbl_Tasks_Clean[[#This Row],[Status]]="Completed",tbl_Tasks_Clean[[#This Row],[Delay_Days]]&lt;=0),"On Time","Late")</f>
        <v>Late</v>
      </c>
      <c r="Z121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121" s="22" t="str">
        <f aca="false">INDEX(tbl_Projects[Project_Manager],MATCH(tbl_Tasks_Clean[[#This Row],[Project_ID]],tbl_Projects[Project_ID],0))</f>
        <v>Mona Farid</v>
      </c>
      <c r="AB121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22" customFormat="false" ht="14.25" hidden="false" customHeight="false" outlineLevel="0" collapsed="false">
      <c r="A122" s="22" t="s">
        <v>724</v>
      </c>
      <c r="B122" s="22" t="s">
        <v>140</v>
      </c>
      <c r="C122" s="22" t="s">
        <v>141</v>
      </c>
      <c r="D122" s="22" t="s">
        <v>725</v>
      </c>
      <c r="E122" s="22" t="s">
        <v>54</v>
      </c>
      <c r="F122" s="22" t="s">
        <v>12</v>
      </c>
      <c r="G122" s="22" t="s">
        <v>206</v>
      </c>
      <c r="H122" s="22" t="s">
        <v>239</v>
      </c>
      <c r="I122" s="23" t="n">
        <v>45394</v>
      </c>
      <c r="J122" s="23" t="n">
        <v>45406</v>
      </c>
      <c r="K122" s="23" t="n">
        <v>45408</v>
      </c>
      <c r="L122" s="0" t="n">
        <v>2500</v>
      </c>
      <c r="M122" s="0" t="n">
        <v>2311</v>
      </c>
      <c r="N122" s="0" t="n">
        <v>12</v>
      </c>
      <c r="O122" s="0" t="n">
        <v>2</v>
      </c>
      <c r="P122" s="22" t="s">
        <v>118</v>
      </c>
      <c r="Q122" s="22" t="s">
        <v>123</v>
      </c>
      <c r="R122" s="23" t="n">
        <v>45383</v>
      </c>
      <c r="S122" s="0" t="n">
        <v>200000</v>
      </c>
      <c r="T122" s="22" t="s">
        <v>11</v>
      </c>
      <c r="U122" s="22" t="s">
        <v>13</v>
      </c>
      <c r="V122" s="0" t="n">
        <v>280</v>
      </c>
      <c r="W122" s="0" t="n">
        <f aca="false">tbl_Tasks_Clean[[#This Row],[Actual_Cost]]-tbl_Tasks_Clean[[#This Row],[Planned_Cost]]</f>
        <v>-189</v>
      </c>
      <c r="X122" s="22" t="n">
        <f aca="false">IFERROR(tbl_Tasks_Clean[[#This Row],[Actual_Cost]]/tbl_Tasks_Clean[[#This Row],[Planned_Cost]],0)</f>
        <v>0.9244</v>
      </c>
      <c r="Y122" s="22" t="str">
        <f aca="false">IF(AND(tbl_Tasks_Clean[[#This Row],[Status]]="Completed",tbl_Tasks_Clean[[#This Row],[Delay_Days]]&lt;=0),"On Time","Late")</f>
        <v>Late</v>
      </c>
      <c r="Z122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22" s="22" t="str">
        <f aca="false">INDEX(tbl_Projects[Project_Manager],MATCH(tbl_Tasks_Clean[[#This Row],[Project_ID]],tbl_Projects[Project_ID],0))</f>
        <v>Nourhan Tarek</v>
      </c>
      <c r="AB122" s="22" t="str">
        <f aca="false">IF(tbl_Tasks_Clean[[#This Row],[Delay_Days]]&gt;0,"Delayed by "&amp;TEXT(DATEDIF(tbl_Tasks_Clean[[#This Row],[Planned_End_Date]],tbl_Tasks_Clean[[#This Row],[Actual_End_Date]],"d"),"0")&amp;" days","No delay")</f>
        <v>Delayed by 2 days</v>
      </c>
    </row>
    <row r="123" customFormat="false" ht="14.25" hidden="false" customHeight="false" outlineLevel="0" collapsed="false">
      <c r="A123" s="22" t="s">
        <v>729</v>
      </c>
      <c r="B123" s="22" t="s">
        <v>93</v>
      </c>
      <c r="C123" s="22" t="s">
        <v>94</v>
      </c>
      <c r="D123" s="22" t="s">
        <v>730</v>
      </c>
      <c r="E123" s="22" t="s">
        <v>63</v>
      </c>
      <c r="F123" s="22" t="s">
        <v>40</v>
      </c>
      <c r="G123" s="22" t="s">
        <v>175</v>
      </c>
      <c r="H123" s="22" t="s">
        <v>239</v>
      </c>
      <c r="I123" s="23" t="n">
        <v>45606</v>
      </c>
      <c r="J123" s="23" t="n">
        <v>45623</v>
      </c>
      <c r="K123" s="23" t="n">
        <v>45620</v>
      </c>
      <c r="L123" s="0" t="n">
        <v>1500</v>
      </c>
      <c r="M123" s="0" t="n">
        <v>1359</v>
      </c>
      <c r="N123" s="0" t="n">
        <v>17</v>
      </c>
      <c r="O123" s="0" t="n">
        <v>-3</v>
      </c>
      <c r="P123" s="22" t="s">
        <v>95</v>
      </c>
      <c r="Q123" s="22" t="s">
        <v>96</v>
      </c>
      <c r="R123" s="23" t="n">
        <v>45481</v>
      </c>
      <c r="S123" s="0" t="n">
        <v>150000</v>
      </c>
      <c r="T123" s="22" t="s">
        <v>39</v>
      </c>
      <c r="U123" s="22" t="s">
        <v>41</v>
      </c>
      <c r="V123" s="0" t="n">
        <v>220</v>
      </c>
      <c r="W123" s="0" t="n">
        <f aca="false">tbl_Tasks_Clean[[#This Row],[Actual_Cost]]-tbl_Tasks_Clean[[#This Row],[Planned_Cost]]</f>
        <v>-141</v>
      </c>
      <c r="X123" s="22" t="n">
        <f aca="false">IFERROR(tbl_Tasks_Clean[[#This Row],[Actual_Cost]]/tbl_Tasks_Clean[[#This Row],[Planned_Cost]],0)</f>
        <v>0.906</v>
      </c>
      <c r="Y123" s="22" t="str">
        <f aca="false">IF(AND(tbl_Tasks_Clean[[#This Row],[Status]]="Completed",tbl_Tasks_Clean[[#This Row],[Delay_Days]]&lt;=0),"On Time","Late")</f>
        <v>On Time</v>
      </c>
      <c r="Z123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23" s="22" t="str">
        <f aca="false">INDEX(tbl_Projects[Project_Manager],MATCH(tbl_Tasks_Clean[[#This Row],[Project_ID]],tbl_Projects[Project_ID],0))</f>
        <v>Youssef Adel</v>
      </c>
      <c r="AB123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24" customFormat="false" ht="14.25" hidden="false" customHeight="false" outlineLevel="0" collapsed="false">
      <c r="A124" s="22" t="s">
        <v>734</v>
      </c>
      <c r="B124" s="22" t="s">
        <v>136</v>
      </c>
      <c r="C124" s="22" t="s">
        <v>137</v>
      </c>
      <c r="D124" s="22" t="s">
        <v>611</v>
      </c>
      <c r="E124" s="22" t="s">
        <v>7</v>
      </c>
      <c r="F124" s="22" t="s">
        <v>29</v>
      </c>
      <c r="G124" s="22" t="s">
        <v>206</v>
      </c>
      <c r="H124" s="22" t="s">
        <v>239</v>
      </c>
      <c r="I124" s="23" t="n">
        <v>45334</v>
      </c>
      <c r="J124" s="23" t="n">
        <v>45361</v>
      </c>
      <c r="K124" s="23" t="n">
        <v>45361</v>
      </c>
      <c r="L124" s="0" t="n">
        <v>4000</v>
      </c>
      <c r="N124" s="0" t="n">
        <v>27</v>
      </c>
      <c r="O124" s="0" t="n">
        <v>0</v>
      </c>
      <c r="P124" s="22" t="s">
        <v>138</v>
      </c>
      <c r="Q124" s="22" t="s">
        <v>101</v>
      </c>
      <c r="R124" s="23" t="n">
        <v>45315</v>
      </c>
      <c r="S124" s="0" t="n">
        <v>250000</v>
      </c>
      <c r="T124" s="22" t="s">
        <v>28</v>
      </c>
      <c r="U124" s="22" t="s">
        <v>22</v>
      </c>
      <c r="V124" s="0" t="n">
        <v>200</v>
      </c>
      <c r="W124" s="0" t="n">
        <f aca="false">tbl_Tasks_Clean[[#This Row],[Actual_Cost]]-tbl_Tasks_Clean[[#This Row],[Planned_Cost]]</f>
        <v>-4000</v>
      </c>
      <c r="X124" s="22" t="n">
        <f aca="false">IFERROR(tbl_Tasks_Clean[[#This Row],[Actual_Cost]]/tbl_Tasks_Clean[[#This Row],[Planned_Cost]],0)</f>
        <v>0</v>
      </c>
      <c r="Y124" s="22" t="str">
        <f aca="false">IF(AND(tbl_Tasks_Clean[[#This Row],[Status]]="Completed",tbl_Tasks_Clean[[#This Row],[Delay_Days]]&lt;=0),"On Time","Late")</f>
        <v>On Time</v>
      </c>
      <c r="Z124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24" s="22" t="str">
        <f aca="false">INDEX(tbl_Projects[Project_Manager],MATCH(tbl_Tasks_Clean[[#This Row],[Project_ID]],tbl_Projects[Project_ID],0))</f>
        <v>Ahmed Nabil</v>
      </c>
      <c r="AB124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25" customFormat="false" ht="14.25" hidden="false" customHeight="false" outlineLevel="0" collapsed="false">
      <c r="A125" s="22" t="s">
        <v>737</v>
      </c>
      <c r="B125" s="22" t="s">
        <v>133</v>
      </c>
      <c r="C125" s="22" t="s">
        <v>134</v>
      </c>
      <c r="D125" s="22" t="s">
        <v>688</v>
      </c>
      <c r="E125" s="22" t="s">
        <v>21</v>
      </c>
      <c r="F125" s="22" t="s">
        <v>18</v>
      </c>
      <c r="G125" s="22" t="s">
        <v>175</v>
      </c>
      <c r="H125" s="22" t="s">
        <v>239</v>
      </c>
      <c r="I125" s="23" t="n">
        <v>45478</v>
      </c>
      <c r="J125" s="23" t="n">
        <v>45481</v>
      </c>
      <c r="K125" s="23" t="n">
        <v>45483</v>
      </c>
      <c r="L125" s="0" t="n">
        <v>1000</v>
      </c>
      <c r="M125" s="0" t="n">
        <v>1032</v>
      </c>
      <c r="N125" s="0" t="n">
        <v>3</v>
      </c>
      <c r="O125" s="0" t="n">
        <v>2</v>
      </c>
      <c r="P125" s="22" t="s">
        <v>135</v>
      </c>
      <c r="Q125" s="22" t="s">
        <v>101</v>
      </c>
      <c r="R125" s="23" t="n">
        <v>45347</v>
      </c>
      <c r="S125" s="0" t="n">
        <v>200000</v>
      </c>
      <c r="T125" s="22" t="s">
        <v>17</v>
      </c>
      <c r="U125" s="22" t="s">
        <v>8</v>
      </c>
      <c r="V125" s="0" t="n">
        <v>220</v>
      </c>
      <c r="W125" s="0" t="n">
        <f aca="false">tbl_Tasks_Clean[[#This Row],[Actual_Cost]]-tbl_Tasks_Clean[[#This Row],[Planned_Cost]]</f>
        <v>32</v>
      </c>
      <c r="X125" s="22" t="n">
        <f aca="false">IFERROR(tbl_Tasks_Clean[[#This Row],[Actual_Cost]]/tbl_Tasks_Clean[[#This Row],[Planned_Cost]],0)</f>
        <v>1.032</v>
      </c>
      <c r="Y125" s="22" t="str">
        <f aca="false">IF(AND(tbl_Tasks_Clean[[#This Row],[Status]]="Completed",tbl_Tasks_Clean[[#This Row],[Delay_Days]]&lt;=0),"On Time","Late")</f>
        <v>Late</v>
      </c>
      <c r="Z125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125" s="22" t="str">
        <f aca="false">INDEX(tbl_Projects[Project_Manager],MATCH(tbl_Tasks_Clean[[#This Row],[Project_ID]],tbl_Projects[Project_ID],0))</f>
        <v>Ahmed Nabil</v>
      </c>
      <c r="AB125" s="22" t="str">
        <f aca="false">IF(tbl_Tasks_Clean[[#This Row],[Delay_Days]]&gt;0,"Delayed by "&amp;TEXT(DATEDIF(tbl_Tasks_Clean[[#This Row],[Planned_End_Date]],tbl_Tasks_Clean[[#This Row],[Actual_End_Date]],"d"),"0")&amp;" days","No delay")</f>
        <v>Delayed by 2 days</v>
      </c>
    </row>
    <row r="126" customFormat="false" ht="14.25" hidden="false" customHeight="false" outlineLevel="0" collapsed="false">
      <c r="A126" s="22" t="s">
        <v>739</v>
      </c>
      <c r="B126" s="22" t="s">
        <v>140</v>
      </c>
      <c r="C126" s="22" t="s">
        <v>141</v>
      </c>
      <c r="D126" s="22" t="s">
        <v>1376</v>
      </c>
      <c r="E126" s="22" t="s">
        <v>21</v>
      </c>
      <c r="F126" s="22" t="s">
        <v>18</v>
      </c>
      <c r="G126" s="22" t="s">
        <v>275</v>
      </c>
      <c r="H126" s="22" t="s">
        <v>194</v>
      </c>
      <c r="I126" s="23" t="n">
        <v>45520</v>
      </c>
      <c r="J126" s="23" t="n">
        <v>45549</v>
      </c>
      <c r="K126" s="23" t="n">
        <v>45559</v>
      </c>
      <c r="L126" s="0" t="n">
        <v>1500</v>
      </c>
      <c r="M126" s="0" t="n">
        <v>1834</v>
      </c>
      <c r="N126" s="0" t="n">
        <v>29</v>
      </c>
      <c r="O126" s="0" t="n">
        <v>10</v>
      </c>
      <c r="P126" s="22" t="s">
        <v>118</v>
      </c>
      <c r="Q126" s="22" t="s">
        <v>123</v>
      </c>
      <c r="R126" s="23" t="n">
        <v>45383</v>
      </c>
      <c r="S126" s="0" t="n">
        <v>200000</v>
      </c>
      <c r="T126" s="22" t="s">
        <v>17</v>
      </c>
      <c r="U126" s="22" t="s">
        <v>8</v>
      </c>
      <c r="V126" s="0" t="n">
        <v>220</v>
      </c>
      <c r="W126" s="0" t="n">
        <f aca="false">tbl_Tasks_Clean[[#This Row],[Actual_Cost]]-tbl_Tasks_Clean[[#This Row],[Planned_Cost]]</f>
        <v>334</v>
      </c>
      <c r="X126" s="22" t="n">
        <f aca="false">IFERROR(tbl_Tasks_Clean[[#This Row],[Actual_Cost]]/tbl_Tasks_Clean[[#This Row],[Planned_Cost]],0)</f>
        <v>1.22266666666667</v>
      </c>
      <c r="Y126" s="22" t="str">
        <f aca="false">IF(AND(tbl_Tasks_Clean[[#This Row],[Status]]="Completed",tbl_Tasks_Clean[[#This Row],[Delay_Days]]&lt;=0),"On Time","Late")</f>
        <v>Late</v>
      </c>
      <c r="Z126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26" s="22" t="str">
        <f aca="false">INDEX(tbl_Projects[Project_Manager],MATCH(tbl_Tasks_Clean[[#This Row],[Project_ID]],tbl_Projects[Project_ID],0))</f>
        <v>Nourhan Tarek</v>
      </c>
      <c r="AB126" s="22" t="str">
        <f aca="false">IF(tbl_Tasks_Clean[[#This Row],[Delay_Days]]&gt;0,"Delayed by "&amp;TEXT(DATEDIF(tbl_Tasks_Clean[[#This Row],[Planned_End_Date]],tbl_Tasks_Clean[[#This Row],[Actual_End_Date]],"d"),"0")&amp;" days","No delay")</f>
        <v>Delayed by 10 days</v>
      </c>
    </row>
    <row r="127" customFormat="false" ht="14.25" hidden="false" customHeight="false" outlineLevel="0" collapsed="false">
      <c r="A127" s="22" t="s">
        <v>745</v>
      </c>
      <c r="B127" s="22" t="s">
        <v>108</v>
      </c>
      <c r="C127" s="22" t="s">
        <v>109</v>
      </c>
      <c r="D127" s="22" t="s">
        <v>746</v>
      </c>
      <c r="E127" s="22" t="s">
        <v>7</v>
      </c>
      <c r="F127" s="22" t="s">
        <v>10</v>
      </c>
      <c r="G127" s="22" t="s">
        <v>1372</v>
      </c>
      <c r="H127" s="22" t="s">
        <v>201</v>
      </c>
      <c r="I127" s="23" t="n">
        <v>45392</v>
      </c>
      <c r="J127" s="23" t="n">
        <v>45407</v>
      </c>
      <c r="K127" s="23"/>
      <c r="L127" s="0" t="n">
        <v>10000</v>
      </c>
      <c r="M127" s="0" t="n">
        <v>0</v>
      </c>
      <c r="N127" s="0" t="n">
        <v>15</v>
      </c>
      <c r="O127" s="0" t="n">
        <v>0</v>
      </c>
      <c r="P127" s="22" t="s">
        <v>110</v>
      </c>
      <c r="Q127" s="22" t="s">
        <v>101</v>
      </c>
      <c r="R127" s="23" t="n">
        <v>45300</v>
      </c>
      <c r="S127" s="0" t="n">
        <v>50000</v>
      </c>
      <c r="T127" s="22" t="s">
        <v>9</v>
      </c>
      <c r="U127" s="22" t="s">
        <v>8</v>
      </c>
      <c r="V127" s="0" t="n">
        <v>220</v>
      </c>
      <c r="W127" s="0" t="n">
        <f aca="false">tbl_Tasks_Clean[[#This Row],[Actual_Cost]]-tbl_Tasks_Clean[[#This Row],[Planned_Cost]]</f>
        <v>-10000</v>
      </c>
      <c r="X127" s="22" t="n">
        <f aca="false">IFERROR(tbl_Tasks_Clean[[#This Row],[Actual_Cost]]/tbl_Tasks_Clean[[#This Row],[Planned_Cost]],0)</f>
        <v>0</v>
      </c>
      <c r="Y127" s="22" t="str">
        <f aca="false">IF(AND(tbl_Tasks_Clean[[#This Row],[Status]]="Completed",tbl_Tasks_Clean[[#This Row],[Delay_Days]]&lt;=0),"On Time","Late")</f>
        <v>Late</v>
      </c>
      <c r="Z127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27" s="22" t="str">
        <f aca="false">INDEX(tbl_Projects[Project_Manager],MATCH(tbl_Tasks_Clean[[#This Row],[Project_ID]],tbl_Projects[Project_ID],0))</f>
        <v>Ahmed Nabil</v>
      </c>
      <c r="AB127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28" customFormat="false" ht="14.25" hidden="false" customHeight="false" outlineLevel="0" collapsed="false">
      <c r="A128" s="22" t="s">
        <v>749</v>
      </c>
      <c r="B128" s="22" t="s">
        <v>112</v>
      </c>
      <c r="C128" s="22" t="s">
        <v>113</v>
      </c>
      <c r="D128" s="22" t="s">
        <v>620</v>
      </c>
      <c r="E128" s="22" t="s">
        <v>34</v>
      </c>
      <c r="F128" s="22" t="s">
        <v>53</v>
      </c>
      <c r="G128" s="22" t="s">
        <v>175</v>
      </c>
      <c r="H128" s="22" t="s">
        <v>212</v>
      </c>
      <c r="I128" s="23" t="n">
        <v>45439</v>
      </c>
      <c r="J128" s="23" t="n">
        <v>45459</v>
      </c>
      <c r="K128" s="23"/>
      <c r="L128" s="0" t="n">
        <v>3000</v>
      </c>
      <c r="M128" s="0" t="n">
        <v>732</v>
      </c>
      <c r="N128" s="0" t="n">
        <v>20</v>
      </c>
      <c r="O128" s="0" t="n">
        <v>0</v>
      </c>
      <c r="P128" s="22" t="s">
        <v>114</v>
      </c>
      <c r="Q128" s="22" t="s">
        <v>91</v>
      </c>
      <c r="R128" s="23" t="n">
        <v>45347</v>
      </c>
      <c r="S128" s="0" t="n">
        <v>120000</v>
      </c>
      <c r="T128" s="22" t="s">
        <v>52</v>
      </c>
      <c r="U128" s="22" t="s">
        <v>55</v>
      </c>
      <c r="V128" s="0" t="n">
        <v>180</v>
      </c>
      <c r="W128" s="0" t="n">
        <f aca="false">tbl_Tasks_Clean[[#This Row],[Actual_Cost]]-tbl_Tasks_Clean[[#This Row],[Planned_Cost]]</f>
        <v>-2268</v>
      </c>
      <c r="X128" s="22" t="n">
        <f aca="false">IFERROR(tbl_Tasks_Clean[[#This Row],[Actual_Cost]]/tbl_Tasks_Clean[[#This Row],[Planned_Cost]],0)</f>
        <v>0.244</v>
      </c>
      <c r="Y128" s="22" t="str">
        <f aca="false">IF(AND(tbl_Tasks_Clean[[#This Row],[Status]]="Completed",tbl_Tasks_Clean[[#This Row],[Delay_Days]]&lt;=0),"On Time","Late")</f>
        <v>Late</v>
      </c>
      <c r="Z128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28" s="22" t="str">
        <f aca="false">INDEX(tbl_Projects[Project_Manager],MATCH(tbl_Tasks_Clean[[#This Row],[Project_ID]],tbl_Projects[Project_ID],0))</f>
        <v>Mona Farid</v>
      </c>
      <c r="AB128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29" customFormat="false" ht="14.25" hidden="false" customHeight="false" outlineLevel="0" collapsed="false">
      <c r="A129" s="22" t="s">
        <v>752</v>
      </c>
      <c r="B129" s="22" t="s">
        <v>112</v>
      </c>
      <c r="C129" s="22" t="s">
        <v>113</v>
      </c>
      <c r="D129" s="22" t="s">
        <v>753</v>
      </c>
      <c r="E129" s="22" t="s">
        <v>7</v>
      </c>
      <c r="F129" s="22" t="s">
        <v>53</v>
      </c>
      <c r="G129" s="22" t="s">
        <v>175</v>
      </c>
      <c r="H129" s="22" t="s">
        <v>212</v>
      </c>
      <c r="I129" s="23" t="n">
        <v>45383</v>
      </c>
      <c r="J129" s="23" t="n">
        <v>45392</v>
      </c>
      <c r="K129" s="23"/>
      <c r="L129" s="0" t="n">
        <v>10000</v>
      </c>
      <c r="M129" s="0" t="n">
        <v>5055</v>
      </c>
      <c r="N129" s="0" t="n">
        <v>9</v>
      </c>
      <c r="O129" s="0" t="n">
        <v>0</v>
      </c>
      <c r="P129" s="22" t="s">
        <v>114</v>
      </c>
      <c r="Q129" s="22" t="s">
        <v>91</v>
      </c>
      <c r="R129" s="23" t="n">
        <v>45347</v>
      </c>
      <c r="S129" s="0" t="n">
        <v>120000</v>
      </c>
      <c r="T129" s="22" t="s">
        <v>52</v>
      </c>
      <c r="U129" s="22" t="s">
        <v>55</v>
      </c>
      <c r="V129" s="0" t="n">
        <v>180</v>
      </c>
      <c r="W129" s="0" t="n">
        <f aca="false">tbl_Tasks_Clean[[#This Row],[Actual_Cost]]-tbl_Tasks_Clean[[#This Row],[Planned_Cost]]</f>
        <v>-4945</v>
      </c>
      <c r="X129" s="22" t="n">
        <f aca="false">IFERROR(tbl_Tasks_Clean[[#This Row],[Actual_Cost]]/tbl_Tasks_Clean[[#This Row],[Planned_Cost]],0)</f>
        <v>0.5055</v>
      </c>
      <c r="Y129" s="22" t="str">
        <f aca="false">IF(AND(tbl_Tasks_Clean[[#This Row],[Status]]="Completed",tbl_Tasks_Clean[[#This Row],[Delay_Days]]&lt;=0),"On Time","Late")</f>
        <v>Late</v>
      </c>
      <c r="Z129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29" s="22" t="str">
        <f aca="false">INDEX(tbl_Projects[Project_Manager],MATCH(tbl_Tasks_Clean[[#This Row],[Project_ID]],tbl_Projects[Project_ID],0))</f>
        <v>Mona Farid</v>
      </c>
      <c r="AB129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30" customFormat="false" ht="14.25" hidden="false" customHeight="false" outlineLevel="0" collapsed="false">
      <c r="A130" s="22" t="s">
        <v>755</v>
      </c>
      <c r="B130" s="22" t="s">
        <v>129</v>
      </c>
      <c r="C130" s="22" t="s">
        <v>130</v>
      </c>
      <c r="D130" s="22" t="s">
        <v>995</v>
      </c>
      <c r="E130" s="22" t="s">
        <v>7</v>
      </c>
      <c r="F130" s="22" t="s">
        <v>81</v>
      </c>
      <c r="G130" s="22" t="s">
        <v>275</v>
      </c>
      <c r="H130" s="22" t="s">
        <v>239</v>
      </c>
      <c r="I130" s="23" t="n">
        <v>45429</v>
      </c>
      <c r="J130" s="23" t="n">
        <v>45452</v>
      </c>
      <c r="K130" s="23" t="n">
        <v>45452</v>
      </c>
      <c r="M130" s="0" t="n">
        <v>1529</v>
      </c>
      <c r="N130" s="0" t="n">
        <v>23</v>
      </c>
      <c r="O130" s="0" t="n">
        <v>0</v>
      </c>
      <c r="P130" s="22" t="s">
        <v>118</v>
      </c>
      <c r="Q130" s="22" t="s">
        <v>131</v>
      </c>
      <c r="R130" s="23" t="n">
        <v>45379</v>
      </c>
      <c r="S130" s="0" t="n">
        <v>150000</v>
      </c>
      <c r="T130" s="22" t="s">
        <v>80</v>
      </c>
      <c r="U130" s="22" t="s">
        <v>77</v>
      </c>
      <c r="V130" s="0" t="n">
        <v>200</v>
      </c>
      <c r="W130" s="0" t="n">
        <f aca="false">tbl_Tasks_Clean[[#This Row],[Actual_Cost]]-tbl_Tasks_Clean[[#This Row],[Planned_Cost]]</f>
        <v>1529</v>
      </c>
      <c r="X130" s="22" t="n">
        <f aca="false">IFERROR(tbl_Tasks_Clean[[#This Row],[Actual_Cost]]/tbl_Tasks_Clean[[#This Row],[Planned_Cost]],0)</f>
        <v>0</v>
      </c>
      <c r="Y130" s="22" t="str">
        <f aca="false">IF(AND(tbl_Tasks_Clean[[#This Row],[Status]]="Completed",tbl_Tasks_Clean[[#This Row],[Delay_Days]]&lt;=0),"On Time","Late")</f>
        <v>On Time</v>
      </c>
      <c r="Z130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30" s="22" t="str">
        <f aca="false">INDEX(tbl_Projects[Project_Manager],MATCH(tbl_Tasks_Clean[[#This Row],[Project_ID]],tbl_Projects[Project_ID],0))</f>
        <v>Sara Hassan</v>
      </c>
      <c r="AB130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31" customFormat="false" ht="14.25" hidden="false" customHeight="false" outlineLevel="0" collapsed="false">
      <c r="A131" s="22" t="s">
        <v>760</v>
      </c>
      <c r="B131" s="22" t="s">
        <v>108</v>
      </c>
      <c r="C131" s="22" t="s">
        <v>109</v>
      </c>
      <c r="D131" s="22" t="s">
        <v>761</v>
      </c>
      <c r="E131" s="22" t="s">
        <v>63</v>
      </c>
      <c r="F131" s="22" t="s">
        <v>47</v>
      </c>
      <c r="G131" s="22" t="s">
        <v>175</v>
      </c>
      <c r="H131" s="22" t="s">
        <v>239</v>
      </c>
      <c r="I131" s="23" t="n">
        <v>45346</v>
      </c>
      <c r="J131" s="23" t="n">
        <v>45374</v>
      </c>
      <c r="K131" s="23" t="n">
        <v>45372</v>
      </c>
      <c r="L131" s="0" t="n">
        <v>1500</v>
      </c>
      <c r="M131" s="0" t="n">
        <v>1802</v>
      </c>
      <c r="N131" s="0" t="n">
        <v>28</v>
      </c>
      <c r="O131" s="0" t="n">
        <v>-2</v>
      </c>
      <c r="P131" s="22" t="s">
        <v>110</v>
      </c>
      <c r="Q131" s="22" t="s">
        <v>101</v>
      </c>
      <c r="R131" s="23" t="n">
        <v>45300</v>
      </c>
      <c r="S131" s="0" t="n">
        <v>50000</v>
      </c>
      <c r="T131" s="22" t="s">
        <v>46</v>
      </c>
      <c r="U131" s="22" t="s">
        <v>48</v>
      </c>
      <c r="V131" s="0" t="n">
        <v>280</v>
      </c>
      <c r="W131" s="0" t="n">
        <f aca="false">tbl_Tasks_Clean[[#This Row],[Actual_Cost]]-tbl_Tasks_Clean[[#This Row],[Planned_Cost]]</f>
        <v>302</v>
      </c>
      <c r="X131" s="22" t="n">
        <f aca="false">IFERROR(tbl_Tasks_Clean[[#This Row],[Actual_Cost]]/tbl_Tasks_Clean[[#This Row],[Planned_Cost]],0)</f>
        <v>1.20133333333333</v>
      </c>
      <c r="Y131" s="22" t="str">
        <f aca="false">IF(AND(tbl_Tasks_Clean[[#This Row],[Status]]="Completed",tbl_Tasks_Clean[[#This Row],[Delay_Days]]&lt;=0),"On Time","Late")</f>
        <v>On Time</v>
      </c>
      <c r="Z131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31" s="22" t="str">
        <f aca="false">INDEX(tbl_Projects[Project_Manager],MATCH(tbl_Tasks_Clean[[#This Row],[Project_ID]],tbl_Projects[Project_ID],0))</f>
        <v>Ahmed Nabil</v>
      </c>
      <c r="AB131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32" customFormat="false" ht="14.25" hidden="false" customHeight="false" outlineLevel="0" collapsed="false">
      <c r="A132" s="22" t="s">
        <v>765</v>
      </c>
      <c r="B132" s="22" t="s">
        <v>147</v>
      </c>
      <c r="C132" s="22" t="s">
        <v>148</v>
      </c>
      <c r="D132" s="22" t="s">
        <v>160</v>
      </c>
      <c r="E132" s="22" t="s">
        <v>21</v>
      </c>
      <c r="F132" s="22" t="s">
        <v>33</v>
      </c>
      <c r="G132" s="22" t="s">
        <v>275</v>
      </c>
      <c r="H132" s="22" t="s">
        <v>239</v>
      </c>
      <c r="I132" s="23" t="n">
        <v>45515</v>
      </c>
      <c r="J132" s="23" t="n">
        <v>45522</v>
      </c>
      <c r="K132" s="23" t="n">
        <v>45524</v>
      </c>
      <c r="L132" s="0" t="n">
        <v>8000</v>
      </c>
      <c r="M132" s="0" t="n">
        <v>8590</v>
      </c>
      <c r="N132" s="0" t="n">
        <v>7</v>
      </c>
      <c r="O132" s="0" t="n">
        <v>2</v>
      </c>
      <c r="P132" s="22" t="s">
        <v>118</v>
      </c>
      <c r="Q132" s="22" t="s">
        <v>123</v>
      </c>
      <c r="R132" s="23" t="n">
        <v>45388</v>
      </c>
      <c r="S132" s="0" t="n">
        <v>75000</v>
      </c>
      <c r="T132" s="22" t="s">
        <v>32</v>
      </c>
      <c r="U132" s="22" t="s">
        <v>35</v>
      </c>
      <c r="V132" s="0" t="n">
        <v>250</v>
      </c>
      <c r="W132" s="0" t="n">
        <f aca="false">tbl_Tasks_Clean[[#This Row],[Actual_Cost]]-tbl_Tasks_Clean[[#This Row],[Planned_Cost]]</f>
        <v>590</v>
      </c>
      <c r="X132" s="22" t="n">
        <f aca="false">IFERROR(tbl_Tasks_Clean[[#This Row],[Actual_Cost]]/tbl_Tasks_Clean[[#This Row],[Planned_Cost]],0)</f>
        <v>1.07375</v>
      </c>
      <c r="Y132" s="22" t="str">
        <f aca="false">IF(AND(tbl_Tasks_Clean[[#This Row],[Status]]="Completed",tbl_Tasks_Clean[[#This Row],[Delay_Days]]&lt;=0),"On Time","Late")</f>
        <v>Late</v>
      </c>
      <c r="Z132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132" s="22" t="str">
        <f aca="false">INDEX(tbl_Projects[Project_Manager],MATCH(tbl_Tasks_Clean[[#This Row],[Project_ID]],tbl_Projects[Project_ID],0))</f>
        <v>Nourhan Tarek</v>
      </c>
      <c r="AB132" s="22" t="str">
        <f aca="false">IF(tbl_Tasks_Clean[[#This Row],[Delay_Days]]&gt;0,"Delayed by "&amp;TEXT(DATEDIF(tbl_Tasks_Clean[[#This Row],[Planned_End_Date]],tbl_Tasks_Clean[[#This Row],[Actual_End_Date]],"d"),"0")&amp;" days","No delay")</f>
        <v>Delayed by 2 days</v>
      </c>
    </row>
    <row r="133" customFormat="false" ht="14.25" hidden="false" customHeight="false" outlineLevel="0" collapsed="false">
      <c r="A133" s="22" t="s">
        <v>769</v>
      </c>
      <c r="B133" s="22" t="s">
        <v>116</v>
      </c>
      <c r="C133" s="22" t="s">
        <v>117</v>
      </c>
      <c r="D133" s="22" t="s">
        <v>770</v>
      </c>
      <c r="E133" s="22" t="s">
        <v>21</v>
      </c>
      <c r="F133" s="22" t="s">
        <v>57</v>
      </c>
      <c r="G133" s="22" t="s">
        <v>206</v>
      </c>
      <c r="H133" s="22" t="s">
        <v>239</v>
      </c>
      <c r="I133" s="23" t="n">
        <v>45553</v>
      </c>
      <c r="J133" s="23" t="n">
        <v>45557</v>
      </c>
      <c r="K133" s="23" t="n">
        <v>45558</v>
      </c>
      <c r="L133" s="0" t="n">
        <v>5000</v>
      </c>
      <c r="M133" s="0" t="n">
        <v>6887</v>
      </c>
      <c r="N133" s="0" t="n">
        <v>4</v>
      </c>
      <c r="O133" s="0" t="n">
        <v>1</v>
      </c>
      <c r="P133" s="22" t="s">
        <v>118</v>
      </c>
      <c r="Q133" s="22" t="s">
        <v>106</v>
      </c>
      <c r="R133" s="23" t="n">
        <v>45435</v>
      </c>
      <c r="S133" s="0" t="n">
        <v>120000</v>
      </c>
      <c r="T133" s="22" t="s">
        <v>56</v>
      </c>
      <c r="U133" s="22" t="s">
        <v>58</v>
      </c>
      <c r="V133" s="0" t="n">
        <v>150</v>
      </c>
      <c r="W133" s="0" t="n">
        <f aca="false">tbl_Tasks_Clean[[#This Row],[Actual_Cost]]-tbl_Tasks_Clean[[#This Row],[Planned_Cost]]</f>
        <v>1887</v>
      </c>
      <c r="X133" s="22" t="n">
        <f aca="false">IFERROR(tbl_Tasks_Clean[[#This Row],[Actual_Cost]]/tbl_Tasks_Clean[[#This Row],[Planned_Cost]],0)</f>
        <v>1.3774</v>
      </c>
      <c r="Y133" s="22" t="str">
        <f aca="false">IF(AND(tbl_Tasks_Clean[[#This Row],[Status]]="Completed",tbl_Tasks_Clean[[#This Row],[Delay_Days]]&lt;=0),"On Time","Late")</f>
        <v>Late</v>
      </c>
      <c r="Z133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133" s="22" t="str">
        <f aca="false">INDEX(tbl_Projects[Project_Manager],MATCH(tbl_Tasks_Clean[[#This Row],[Project_ID]],tbl_Projects[Project_ID],0))</f>
        <v>Laila Samir</v>
      </c>
      <c r="AB133" s="22" t="str">
        <f aca="false">IF(tbl_Tasks_Clean[[#This Row],[Delay_Days]]&gt;0,"Delayed by "&amp;TEXT(DATEDIF(tbl_Tasks_Clean[[#This Row],[Planned_End_Date]],tbl_Tasks_Clean[[#This Row],[Actual_End_Date]],"d"),"0")&amp;" days","No delay")</f>
        <v>Delayed by 1 days</v>
      </c>
    </row>
    <row r="134" customFormat="false" ht="14.25" hidden="false" customHeight="false" outlineLevel="0" collapsed="false">
      <c r="A134" s="22" t="s">
        <v>774</v>
      </c>
      <c r="B134" s="22" t="s">
        <v>136</v>
      </c>
      <c r="C134" s="22" t="s">
        <v>137</v>
      </c>
      <c r="D134" s="22" t="s">
        <v>775</v>
      </c>
      <c r="E134" s="22" t="s">
        <v>63</v>
      </c>
      <c r="F134" s="22" t="s">
        <v>18</v>
      </c>
      <c r="G134" s="22" t="s">
        <v>275</v>
      </c>
      <c r="H134" s="22" t="s">
        <v>212</v>
      </c>
      <c r="I134" s="23" t="n">
        <v>45343</v>
      </c>
      <c r="J134" s="23" t="n">
        <v>45372</v>
      </c>
      <c r="K134" s="23"/>
      <c r="L134" s="0" t="n">
        <v>10000</v>
      </c>
      <c r="M134" s="0" t="n">
        <v>6014</v>
      </c>
      <c r="N134" s="0" t="n">
        <v>29</v>
      </c>
      <c r="O134" s="0" t="n">
        <v>0</v>
      </c>
      <c r="P134" s="22" t="s">
        <v>138</v>
      </c>
      <c r="Q134" s="22" t="s">
        <v>101</v>
      </c>
      <c r="R134" s="23" t="n">
        <v>45315</v>
      </c>
      <c r="S134" s="0" t="n">
        <v>250000</v>
      </c>
      <c r="T134" s="22" t="s">
        <v>17</v>
      </c>
      <c r="U134" s="22" t="s">
        <v>8</v>
      </c>
      <c r="V134" s="0" t="n">
        <v>220</v>
      </c>
      <c r="W134" s="0" t="n">
        <f aca="false">tbl_Tasks_Clean[[#This Row],[Actual_Cost]]-tbl_Tasks_Clean[[#This Row],[Planned_Cost]]</f>
        <v>-3986</v>
      </c>
      <c r="X134" s="22" t="n">
        <f aca="false">IFERROR(tbl_Tasks_Clean[[#This Row],[Actual_Cost]]/tbl_Tasks_Clean[[#This Row],[Planned_Cost]],0)</f>
        <v>0.6014</v>
      </c>
      <c r="Y134" s="22" t="str">
        <f aca="false">IF(AND(tbl_Tasks_Clean[[#This Row],[Status]]="Completed",tbl_Tasks_Clean[[#This Row],[Delay_Days]]&lt;=0),"On Time","Late")</f>
        <v>Late</v>
      </c>
      <c r="Z134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34" s="22" t="str">
        <f aca="false">INDEX(tbl_Projects[Project_Manager],MATCH(tbl_Tasks_Clean[[#This Row],[Project_ID]],tbl_Projects[Project_ID],0))</f>
        <v>Ahmed Nabil</v>
      </c>
      <c r="AB134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35" customFormat="false" ht="14.25" hidden="false" customHeight="false" outlineLevel="0" collapsed="false">
      <c r="A135" s="22" t="s">
        <v>777</v>
      </c>
      <c r="B135" s="22" t="s">
        <v>136</v>
      </c>
      <c r="C135" s="22" t="s">
        <v>137</v>
      </c>
      <c r="D135" s="22" t="s">
        <v>447</v>
      </c>
      <c r="E135" s="22" t="s">
        <v>7</v>
      </c>
      <c r="F135" s="22" t="s">
        <v>33</v>
      </c>
      <c r="G135" s="22" t="s">
        <v>206</v>
      </c>
      <c r="H135" s="22" t="s">
        <v>194</v>
      </c>
      <c r="I135" s="23" t="n">
        <v>45427</v>
      </c>
      <c r="J135" s="23" t="n">
        <v>45449</v>
      </c>
      <c r="K135" s="23" t="n">
        <v>45454</v>
      </c>
      <c r="M135" s="0" t="n">
        <v>1441</v>
      </c>
      <c r="N135" s="0" t="n">
        <v>22</v>
      </c>
      <c r="O135" s="0" t="n">
        <v>5</v>
      </c>
      <c r="P135" s="22" t="s">
        <v>138</v>
      </c>
      <c r="Q135" s="22" t="s">
        <v>101</v>
      </c>
      <c r="R135" s="23" t="n">
        <v>45315</v>
      </c>
      <c r="S135" s="0" t="n">
        <v>250000</v>
      </c>
      <c r="T135" s="22" t="s">
        <v>32</v>
      </c>
      <c r="U135" s="22" t="s">
        <v>35</v>
      </c>
      <c r="V135" s="0" t="n">
        <v>250</v>
      </c>
      <c r="W135" s="0" t="n">
        <f aca="false">tbl_Tasks_Clean[[#This Row],[Actual_Cost]]-tbl_Tasks_Clean[[#This Row],[Planned_Cost]]</f>
        <v>1441</v>
      </c>
      <c r="X135" s="22" t="n">
        <f aca="false">IFERROR(tbl_Tasks_Clean[[#This Row],[Actual_Cost]]/tbl_Tasks_Clean[[#This Row],[Planned_Cost]],0)</f>
        <v>0</v>
      </c>
      <c r="Y135" s="22" t="str">
        <f aca="false">IF(AND(tbl_Tasks_Clean[[#This Row],[Status]]="Completed",tbl_Tasks_Clean[[#This Row],[Delay_Days]]&lt;=0),"On Time","Late")</f>
        <v>Late</v>
      </c>
      <c r="Z135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35" s="22" t="str">
        <f aca="false">INDEX(tbl_Projects[Project_Manager],MATCH(tbl_Tasks_Clean[[#This Row],[Project_ID]],tbl_Projects[Project_ID],0))</f>
        <v>Ahmed Nabil</v>
      </c>
      <c r="AB135" s="22" t="str">
        <f aca="false">IF(tbl_Tasks_Clean[[#This Row],[Delay_Days]]&gt;0,"Delayed by "&amp;TEXT(DATEDIF(tbl_Tasks_Clean[[#This Row],[Planned_End_Date]],tbl_Tasks_Clean[[#This Row],[Actual_End_Date]],"d"),"0")&amp;" days","No delay")</f>
        <v>Delayed by 5 days</v>
      </c>
    </row>
    <row r="136" customFormat="false" ht="14.25" hidden="false" customHeight="false" outlineLevel="0" collapsed="false">
      <c r="A136" s="22" t="s">
        <v>781</v>
      </c>
      <c r="B136" s="22" t="s">
        <v>112</v>
      </c>
      <c r="C136" s="22" t="s">
        <v>113</v>
      </c>
      <c r="D136" s="22" t="s">
        <v>782</v>
      </c>
      <c r="E136" s="22" t="s">
        <v>44</v>
      </c>
      <c r="F136" s="22" t="s">
        <v>37</v>
      </c>
      <c r="G136" s="22" t="s">
        <v>206</v>
      </c>
      <c r="H136" s="22" t="s">
        <v>239</v>
      </c>
      <c r="I136" s="23" t="n">
        <v>45383</v>
      </c>
      <c r="J136" s="23" t="n">
        <v>45396</v>
      </c>
      <c r="K136" s="23" t="n">
        <v>45398</v>
      </c>
      <c r="L136" s="0" t="n">
        <v>4000</v>
      </c>
      <c r="M136" s="0" t="n">
        <v>4856</v>
      </c>
      <c r="N136" s="0" t="n">
        <v>13</v>
      </c>
      <c r="O136" s="0" t="n">
        <v>2</v>
      </c>
      <c r="P136" s="22" t="s">
        <v>114</v>
      </c>
      <c r="Q136" s="22" t="s">
        <v>91</v>
      </c>
      <c r="R136" s="23" t="n">
        <v>45347</v>
      </c>
      <c r="S136" s="0" t="n">
        <v>120000</v>
      </c>
      <c r="T136" s="22" t="s">
        <v>36</v>
      </c>
      <c r="U136" s="22" t="s">
        <v>38</v>
      </c>
      <c r="V136" s="0" t="n">
        <v>280</v>
      </c>
      <c r="W136" s="0" t="n">
        <f aca="false">tbl_Tasks_Clean[[#This Row],[Actual_Cost]]-tbl_Tasks_Clean[[#This Row],[Planned_Cost]]</f>
        <v>856</v>
      </c>
      <c r="X136" s="22" t="n">
        <f aca="false">IFERROR(tbl_Tasks_Clean[[#This Row],[Actual_Cost]]/tbl_Tasks_Clean[[#This Row],[Planned_Cost]],0)</f>
        <v>1.214</v>
      </c>
      <c r="Y136" s="22" t="str">
        <f aca="false">IF(AND(tbl_Tasks_Clean[[#This Row],[Status]]="Completed",tbl_Tasks_Clean[[#This Row],[Delay_Days]]&lt;=0),"On Time","Late")</f>
        <v>Late</v>
      </c>
      <c r="Z136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36" s="22" t="str">
        <f aca="false">INDEX(tbl_Projects[Project_Manager],MATCH(tbl_Tasks_Clean[[#This Row],[Project_ID]],tbl_Projects[Project_ID],0))</f>
        <v>Mona Farid</v>
      </c>
      <c r="AB136" s="22" t="str">
        <f aca="false">IF(tbl_Tasks_Clean[[#This Row],[Delay_Days]]&gt;0,"Delayed by "&amp;TEXT(DATEDIF(tbl_Tasks_Clean[[#This Row],[Planned_End_Date]],tbl_Tasks_Clean[[#This Row],[Actual_End_Date]],"d"),"0")&amp;" days","No delay")</f>
        <v>Delayed by 2 days</v>
      </c>
    </row>
    <row r="137" customFormat="false" ht="14.25" hidden="false" customHeight="false" outlineLevel="0" collapsed="false">
      <c r="A137" s="22" t="s">
        <v>786</v>
      </c>
      <c r="B137" s="22" t="s">
        <v>108</v>
      </c>
      <c r="C137" s="22" t="s">
        <v>109</v>
      </c>
      <c r="D137" s="22" t="s">
        <v>787</v>
      </c>
      <c r="E137" s="22" t="s">
        <v>44</v>
      </c>
      <c r="F137" s="22" t="s">
        <v>12</v>
      </c>
      <c r="G137" s="22" t="s">
        <v>206</v>
      </c>
      <c r="H137" s="22" t="s">
        <v>212</v>
      </c>
      <c r="I137" s="23" t="n">
        <v>45441</v>
      </c>
      <c r="J137" s="23" t="n">
        <v>45448</v>
      </c>
      <c r="K137" s="23"/>
      <c r="L137" s="0" t="n">
        <v>10000</v>
      </c>
      <c r="M137" s="0" t="n">
        <v>7305</v>
      </c>
      <c r="N137" s="0" t="n">
        <v>7</v>
      </c>
      <c r="O137" s="0" t="n">
        <v>0</v>
      </c>
      <c r="P137" s="22" t="s">
        <v>110</v>
      </c>
      <c r="Q137" s="22" t="s">
        <v>101</v>
      </c>
      <c r="R137" s="23" t="n">
        <v>45300</v>
      </c>
      <c r="S137" s="0" t="n">
        <v>50000</v>
      </c>
      <c r="T137" s="22" t="s">
        <v>11</v>
      </c>
      <c r="U137" s="22" t="s">
        <v>13</v>
      </c>
      <c r="V137" s="0" t="n">
        <v>280</v>
      </c>
      <c r="W137" s="0" t="n">
        <f aca="false">tbl_Tasks_Clean[[#This Row],[Actual_Cost]]-tbl_Tasks_Clean[[#This Row],[Planned_Cost]]</f>
        <v>-2695</v>
      </c>
      <c r="X137" s="22" t="n">
        <f aca="false">IFERROR(tbl_Tasks_Clean[[#This Row],[Actual_Cost]]/tbl_Tasks_Clean[[#This Row],[Planned_Cost]],0)</f>
        <v>0.7305</v>
      </c>
      <c r="Y137" s="22" t="str">
        <f aca="false">IF(AND(tbl_Tasks_Clean[[#This Row],[Status]]="Completed",tbl_Tasks_Clean[[#This Row],[Delay_Days]]&lt;=0),"On Time","Late")</f>
        <v>Late</v>
      </c>
      <c r="Z137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137" s="22" t="str">
        <f aca="false">INDEX(tbl_Projects[Project_Manager],MATCH(tbl_Tasks_Clean[[#This Row],[Project_ID]],tbl_Projects[Project_ID],0))</f>
        <v>Ahmed Nabil</v>
      </c>
      <c r="AB137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38" customFormat="false" ht="14.25" hidden="false" customHeight="false" outlineLevel="0" collapsed="false">
      <c r="A138" s="22" t="s">
        <v>789</v>
      </c>
      <c r="B138" s="22" t="s">
        <v>143</v>
      </c>
      <c r="C138" s="22" t="s">
        <v>144</v>
      </c>
      <c r="D138" s="22" t="s">
        <v>790</v>
      </c>
      <c r="E138" s="22" t="s">
        <v>21</v>
      </c>
      <c r="F138" s="22" t="s">
        <v>40</v>
      </c>
      <c r="G138" s="22" t="s">
        <v>175</v>
      </c>
      <c r="H138" s="22" t="s">
        <v>239</v>
      </c>
      <c r="I138" s="23" t="n">
        <v>45317</v>
      </c>
      <c r="J138" s="23" t="n">
        <v>45325</v>
      </c>
      <c r="K138" s="23" t="n">
        <v>45324</v>
      </c>
      <c r="L138" s="0" t="n">
        <v>2000</v>
      </c>
      <c r="M138" s="0" t="n">
        <v>2123</v>
      </c>
      <c r="N138" s="0" t="n">
        <v>8</v>
      </c>
      <c r="O138" s="0" t="n">
        <v>-1</v>
      </c>
      <c r="P138" s="22" t="s">
        <v>145</v>
      </c>
      <c r="Q138" s="22" t="s">
        <v>101</v>
      </c>
      <c r="R138" s="23" t="n">
        <v>45303</v>
      </c>
      <c r="S138" s="0" t="n">
        <v>300000</v>
      </c>
      <c r="T138" s="22" t="s">
        <v>39</v>
      </c>
      <c r="U138" s="22" t="s">
        <v>41</v>
      </c>
      <c r="V138" s="0" t="n">
        <v>220</v>
      </c>
      <c r="W138" s="0" t="n">
        <f aca="false">tbl_Tasks_Clean[[#This Row],[Actual_Cost]]-tbl_Tasks_Clean[[#This Row],[Planned_Cost]]</f>
        <v>123</v>
      </c>
      <c r="X138" s="22" t="n">
        <f aca="false">IFERROR(tbl_Tasks_Clean[[#This Row],[Actual_Cost]]/tbl_Tasks_Clean[[#This Row],[Planned_Cost]],0)</f>
        <v>1.0615</v>
      </c>
      <c r="Y138" s="22" t="str">
        <f aca="false">IF(AND(tbl_Tasks_Clean[[#This Row],[Status]]="Completed",tbl_Tasks_Clean[[#This Row],[Delay_Days]]&lt;=0),"On Time","Late")</f>
        <v>On Time</v>
      </c>
      <c r="Z138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38" s="22" t="str">
        <f aca="false">INDEX(tbl_Projects[Project_Manager],MATCH(tbl_Tasks_Clean[[#This Row],[Project_ID]],tbl_Projects[Project_ID],0))</f>
        <v>Ahmed Nabil</v>
      </c>
      <c r="AB138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39" customFormat="false" ht="14.25" hidden="false" customHeight="false" outlineLevel="0" collapsed="false">
      <c r="A139" s="22" t="s">
        <v>793</v>
      </c>
      <c r="B139" s="22" t="s">
        <v>103</v>
      </c>
      <c r="C139" s="22" t="s">
        <v>104</v>
      </c>
      <c r="D139" s="22" t="s">
        <v>794</v>
      </c>
      <c r="E139" s="22" t="s">
        <v>7</v>
      </c>
      <c r="F139" s="22" t="s">
        <v>10</v>
      </c>
      <c r="G139" s="22" t="s">
        <v>175</v>
      </c>
      <c r="H139" s="22" t="s">
        <v>201</v>
      </c>
      <c r="I139" s="23" t="n">
        <v>45594</v>
      </c>
      <c r="J139" s="23" t="n">
        <v>45617</v>
      </c>
      <c r="K139" s="23"/>
      <c r="L139" s="0" t="n">
        <v>2000</v>
      </c>
      <c r="M139" s="0" t="n">
        <v>0</v>
      </c>
      <c r="N139" s="0" t="n">
        <v>23</v>
      </c>
      <c r="O139" s="0" t="n">
        <v>0</v>
      </c>
      <c r="P139" s="22" t="s">
        <v>105</v>
      </c>
      <c r="Q139" s="22" t="s">
        <v>106</v>
      </c>
      <c r="R139" s="23" t="n">
        <v>45465</v>
      </c>
      <c r="S139" s="0" t="n">
        <v>75000</v>
      </c>
      <c r="T139" s="22" t="s">
        <v>9</v>
      </c>
      <c r="U139" s="22" t="s">
        <v>8</v>
      </c>
      <c r="V139" s="0" t="n">
        <v>220</v>
      </c>
      <c r="W139" s="0" t="n">
        <f aca="false">tbl_Tasks_Clean[[#This Row],[Actual_Cost]]-tbl_Tasks_Clean[[#This Row],[Planned_Cost]]</f>
        <v>-2000</v>
      </c>
      <c r="X139" s="22" t="n">
        <f aca="false">IFERROR(tbl_Tasks_Clean[[#This Row],[Actual_Cost]]/tbl_Tasks_Clean[[#This Row],[Planned_Cost]],0)</f>
        <v>0</v>
      </c>
      <c r="Y139" s="22" t="str">
        <f aca="false">IF(AND(tbl_Tasks_Clean[[#This Row],[Status]]="Completed",tbl_Tasks_Clean[[#This Row],[Delay_Days]]&lt;=0),"On Time","Late")</f>
        <v>Late</v>
      </c>
      <c r="Z139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39" s="22" t="str">
        <f aca="false">INDEX(tbl_Projects[Project_Manager],MATCH(tbl_Tasks_Clean[[#This Row],[Project_ID]],tbl_Projects[Project_ID],0))</f>
        <v>Laila Samir</v>
      </c>
      <c r="AB139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40" customFormat="false" ht="14.25" hidden="false" customHeight="false" outlineLevel="0" collapsed="false">
      <c r="A140" s="22" t="s">
        <v>797</v>
      </c>
      <c r="B140" s="22" t="s">
        <v>129</v>
      </c>
      <c r="C140" s="22" t="s">
        <v>130</v>
      </c>
      <c r="D140" s="22" t="s">
        <v>798</v>
      </c>
      <c r="E140" s="22" t="s">
        <v>63</v>
      </c>
      <c r="F140" s="22" t="s">
        <v>26</v>
      </c>
      <c r="G140" s="22" t="s">
        <v>175</v>
      </c>
      <c r="H140" s="22" t="s">
        <v>212</v>
      </c>
      <c r="I140" s="23" t="n">
        <v>45429</v>
      </c>
      <c r="J140" s="23" t="n">
        <v>45455</v>
      </c>
      <c r="K140" s="23"/>
      <c r="L140" s="0" t="n">
        <v>8000</v>
      </c>
      <c r="M140" s="0" t="n">
        <v>5250</v>
      </c>
      <c r="N140" s="0" t="n">
        <v>26</v>
      </c>
      <c r="O140" s="0" t="n">
        <v>0</v>
      </c>
      <c r="P140" s="22" t="s">
        <v>118</v>
      </c>
      <c r="Q140" s="22" t="s">
        <v>131</v>
      </c>
      <c r="R140" s="23" t="n">
        <v>45379</v>
      </c>
      <c r="S140" s="0" t="n">
        <v>150000</v>
      </c>
      <c r="T140" s="22" t="s">
        <v>25</v>
      </c>
      <c r="U140" s="22" t="s">
        <v>27</v>
      </c>
      <c r="V140" s="0" t="n">
        <v>200</v>
      </c>
      <c r="W140" s="0" t="n">
        <f aca="false">tbl_Tasks_Clean[[#This Row],[Actual_Cost]]-tbl_Tasks_Clean[[#This Row],[Planned_Cost]]</f>
        <v>-2750</v>
      </c>
      <c r="X140" s="22" t="n">
        <f aca="false">IFERROR(tbl_Tasks_Clean[[#This Row],[Actual_Cost]]/tbl_Tasks_Clean[[#This Row],[Planned_Cost]],0)</f>
        <v>0.65625</v>
      </c>
      <c r="Y140" s="22" t="str">
        <f aca="false">IF(AND(tbl_Tasks_Clean[[#This Row],[Status]]="Completed",tbl_Tasks_Clean[[#This Row],[Delay_Days]]&lt;=0),"On Time","Late")</f>
        <v>Late</v>
      </c>
      <c r="Z140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40" s="22" t="str">
        <f aca="false">INDEX(tbl_Projects[Project_Manager],MATCH(tbl_Tasks_Clean[[#This Row],[Project_ID]],tbl_Projects[Project_ID],0))</f>
        <v>Sara Hassan</v>
      </c>
      <c r="AB140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41" customFormat="false" ht="14.25" hidden="false" customHeight="false" outlineLevel="0" collapsed="false">
      <c r="A141" s="22" t="s">
        <v>802</v>
      </c>
      <c r="B141" s="22" t="s">
        <v>147</v>
      </c>
      <c r="C141" s="22" t="s">
        <v>148</v>
      </c>
      <c r="D141" s="22" t="s">
        <v>798</v>
      </c>
      <c r="E141" s="22" t="s">
        <v>7</v>
      </c>
      <c r="F141" s="22" t="s">
        <v>50</v>
      </c>
      <c r="G141" s="22" t="s">
        <v>206</v>
      </c>
      <c r="H141" s="22" t="s">
        <v>239</v>
      </c>
      <c r="I141" s="23" t="n">
        <v>45508</v>
      </c>
      <c r="J141" s="23" t="n">
        <v>45528</v>
      </c>
      <c r="K141" s="23" t="n">
        <v>45525</v>
      </c>
      <c r="L141" s="0" t="n">
        <v>6000</v>
      </c>
      <c r="M141" s="0" t="n">
        <v>8177</v>
      </c>
      <c r="N141" s="0" t="n">
        <v>20</v>
      </c>
      <c r="O141" s="0" t="n">
        <v>-3</v>
      </c>
      <c r="P141" s="22" t="s">
        <v>118</v>
      </c>
      <c r="Q141" s="22" t="s">
        <v>123</v>
      </c>
      <c r="R141" s="23" t="n">
        <v>45388</v>
      </c>
      <c r="S141" s="0" t="n">
        <v>75000</v>
      </c>
      <c r="T141" s="22" t="s">
        <v>49</v>
      </c>
      <c r="U141" s="22" t="s">
        <v>51</v>
      </c>
      <c r="V141" s="0" t="n">
        <v>300</v>
      </c>
      <c r="W141" s="0" t="n">
        <f aca="false">tbl_Tasks_Clean[[#This Row],[Actual_Cost]]-tbl_Tasks_Clean[[#This Row],[Planned_Cost]]</f>
        <v>2177</v>
      </c>
      <c r="X141" s="22" t="n">
        <f aca="false">IFERROR(tbl_Tasks_Clean[[#This Row],[Actual_Cost]]/tbl_Tasks_Clean[[#This Row],[Planned_Cost]],0)</f>
        <v>1.36283333333333</v>
      </c>
      <c r="Y141" s="22" t="str">
        <f aca="false">IF(AND(tbl_Tasks_Clean[[#This Row],[Status]]="Completed",tbl_Tasks_Clean[[#This Row],[Delay_Days]]&lt;=0),"On Time","Late")</f>
        <v>On Time</v>
      </c>
      <c r="Z141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41" s="22" t="str">
        <f aca="false">INDEX(tbl_Projects[Project_Manager],MATCH(tbl_Tasks_Clean[[#This Row],[Project_ID]],tbl_Projects[Project_ID],0))</f>
        <v>Nourhan Tarek</v>
      </c>
      <c r="AB141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42" customFormat="false" ht="14.25" hidden="false" customHeight="false" outlineLevel="0" collapsed="false">
      <c r="A142" s="22" t="s">
        <v>806</v>
      </c>
      <c r="B142" s="22" t="s">
        <v>108</v>
      </c>
      <c r="C142" s="22" t="s">
        <v>109</v>
      </c>
      <c r="D142" s="22" t="s">
        <v>807</v>
      </c>
      <c r="E142" s="22" t="s">
        <v>76</v>
      </c>
      <c r="F142" s="22" t="s">
        <v>26</v>
      </c>
      <c r="G142" s="22" t="s">
        <v>206</v>
      </c>
      <c r="H142" s="22" t="s">
        <v>212</v>
      </c>
      <c r="I142" s="23" t="n">
        <v>45431</v>
      </c>
      <c r="J142" s="23" t="n">
        <v>45438</v>
      </c>
      <c r="K142" s="23"/>
      <c r="L142" s="0" t="n">
        <v>5000</v>
      </c>
      <c r="M142" s="0" t="n">
        <v>1275</v>
      </c>
      <c r="N142" s="0" t="n">
        <v>7</v>
      </c>
      <c r="O142" s="0" t="n">
        <v>0</v>
      </c>
      <c r="P142" s="22" t="s">
        <v>110</v>
      </c>
      <c r="Q142" s="22" t="s">
        <v>101</v>
      </c>
      <c r="R142" s="23" t="n">
        <v>45300</v>
      </c>
      <c r="S142" s="0" t="n">
        <v>50000</v>
      </c>
      <c r="T142" s="22" t="s">
        <v>25</v>
      </c>
      <c r="U142" s="22" t="s">
        <v>27</v>
      </c>
      <c r="V142" s="0" t="n">
        <v>200</v>
      </c>
      <c r="W142" s="0" t="n">
        <f aca="false">tbl_Tasks_Clean[[#This Row],[Actual_Cost]]-tbl_Tasks_Clean[[#This Row],[Planned_Cost]]</f>
        <v>-3725</v>
      </c>
      <c r="X142" s="22" t="n">
        <f aca="false">IFERROR(tbl_Tasks_Clean[[#This Row],[Actual_Cost]]/tbl_Tasks_Clean[[#This Row],[Planned_Cost]],0)</f>
        <v>0.255</v>
      </c>
      <c r="Y142" s="22" t="str">
        <f aca="false">IF(AND(tbl_Tasks_Clean[[#This Row],[Status]]="Completed",tbl_Tasks_Clean[[#This Row],[Delay_Days]]&lt;=0),"On Time","Late")</f>
        <v>Late</v>
      </c>
      <c r="Z142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142" s="22" t="str">
        <f aca="false">INDEX(tbl_Projects[Project_Manager],MATCH(tbl_Tasks_Clean[[#This Row],[Project_ID]],tbl_Projects[Project_ID],0))</f>
        <v>Ahmed Nabil</v>
      </c>
      <c r="AB142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43" customFormat="false" ht="14.25" hidden="false" customHeight="false" outlineLevel="0" collapsed="false">
      <c r="A143" s="22" t="s">
        <v>809</v>
      </c>
      <c r="B143" s="22" t="s">
        <v>112</v>
      </c>
      <c r="C143" s="22" t="s">
        <v>113</v>
      </c>
      <c r="D143" s="22" t="s">
        <v>810</v>
      </c>
      <c r="E143" s="22" t="s">
        <v>21</v>
      </c>
      <c r="F143" s="22" t="s">
        <v>15</v>
      </c>
      <c r="G143" s="22" t="s">
        <v>206</v>
      </c>
      <c r="H143" s="22" t="s">
        <v>212</v>
      </c>
      <c r="I143" s="23" t="n">
        <v>45467</v>
      </c>
      <c r="J143" s="23" t="n">
        <v>45479</v>
      </c>
      <c r="K143" s="23"/>
      <c r="L143" s="0" t="n">
        <v>8000</v>
      </c>
      <c r="M143" s="0" t="n">
        <v>1639</v>
      </c>
      <c r="N143" s="0" t="n">
        <v>12</v>
      </c>
      <c r="O143" s="0" t="n">
        <v>0</v>
      </c>
      <c r="P143" s="22" t="s">
        <v>114</v>
      </c>
      <c r="Q143" s="22" t="s">
        <v>91</v>
      </c>
      <c r="R143" s="23" t="n">
        <v>45347</v>
      </c>
      <c r="S143" s="0" t="n">
        <v>120000</v>
      </c>
      <c r="T143" s="22" t="s">
        <v>14</v>
      </c>
      <c r="U143" s="22" t="s">
        <v>16</v>
      </c>
      <c r="V143" s="0" t="n">
        <v>180</v>
      </c>
      <c r="W143" s="0" t="n">
        <f aca="false">tbl_Tasks_Clean[[#This Row],[Actual_Cost]]-tbl_Tasks_Clean[[#This Row],[Planned_Cost]]</f>
        <v>-6361</v>
      </c>
      <c r="X143" s="22" t="n">
        <f aca="false">IFERROR(tbl_Tasks_Clean[[#This Row],[Actual_Cost]]/tbl_Tasks_Clean[[#This Row],[Planned_Cost]],0)</f>
        <v>0.204875</v>
      </c>
      <c r="Y143" s="22" t="str">
        <f aca="false">IF(AND(tbl_Tasks_Clean[[#This Row],[Status]]="Completed",tbl_Tasks_Clean[[#This Row],[Delay_Days]]&lt;=0),"On Time","Late")</f>
        <v>Late</v>
      </c>
      <c r="Z143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43" s="22" t="str">
        <f aca="false">INDEX(tbl_Projects[Project_Manager],MATCH(tbl_Tasks_Clean[[#This Row],[Project_ID]],tbl_Projects[Project_ID],0))</f>
        <v>Mona Farid</v>
      </c>
      <c r="AB143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44" customFormat="false" ht="14.25" hidden="false" customHeight="false" outlineLevel="0" collapsed="false">
      <c r="A144" s="22" t="s">
        <v>813</v>
      </c>
      <c r="B144" s="22" t="s">
        <v>133</v>
      </c>
      <c r="C144" s="22" t="s">
        <v>134</v>
      </c>
      <c r="D144" s="22" t="s">
        <v>814</v>
      </c>
      <c r="E144" s="22" t="s">
        <v>44</v>
      </c>
      <c r="F144" s="22" t="s">
        <v>71</v>
      </c>
      <c r="G144" s="22" t="s">
        <v>175</v>
      </c>
      <c r="H144" s="22" t="s">
        <v>194</v>
      </c>
      <c r="I144" s="23" t="n">
        <v>45468</v>
      </c>
      <c r="J144" s="23" t="n">
        <v>45480</v>
      </c>
      <c r="K144" s="23" t="n">
        <v>45479</v>
      </c>
      <c r="L144" s="0" t="n">
        <v>5000</v>
      </c>
      <c r="M144" s="0" t="n">
        <v>6660</v>
      </c>
      <c r="N144" s="0" t="n">
        <v>12</v>
      </c>
      <c r="O144" s="0" t="n">
        <v>-1</v>
      </c>
      <c r="P144" s="22" t="s">
        <v>135</v>
      </c>
      <c r="Q144" s="22" t="s">
        <v>101</v>
      </c>
      <c r="R144" s="23" t="n">
        <v>45347</v>
      </c>
      <c r="S144" s="0" t="n">
        <v>200000</v>
      </c>
      <c r="T144" s="22" t="s">
        <v>70</v>
      </c>
      <c r="U144" s="22" t="s">
        <v>67</v>
      </c>
      <c r="V144" s="0" t="n">
        <v>180</v>
      </c>
      <c r="W144" s="0" t="n">
        <f aca="false">tbl_Tasks_Clean[[#This Row],[Actual_Cost]]-tbl_Tasks_Clean[[#This Row],[Planned_Cost]]</f>
        <v>1660</v>
      </c>
      <c r="X144" s="22" t="n">
        <f aca="false">IFERROR(tbl_Tasks_Clean[[#This Row],[Actual_Cost]]/tbl_Tasks_Clean[[#This Row],[Planned_Cost]],0)</f>
        <v>1.332</v>
      </c>
      <c r="Y144" s="22" t="str">
        <f aca="false">IF(AND(tbl_Tasks_Clean[[#This Row],[Status]]="Completed",tbl_Tasks_Clean[[#This Row],[Delay_Days]]&lt;=0),"On Time","Late")</f>
        <v>Late</v>
      </c>
      <c r="Z144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44" s="22" t="str">
        <f aca="false">INDEX(tbl_Projects[Project_Manager],MATCH(tbl_Tasks_Clean[[#This Row],[Project_ID]],tbl_Projects[Project_ID],0))</f>
        <v>Ahmed Nabil</v>
      </c>
      <c r="AB144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45" customFormat="false" ht="14.25" hidden="false" customHeight="false" outlineLevel="0" collapsed="false">
      <c r="A145" s="22" t="s">
        <v>818</v>
      </c>
      <c r="B145" s="22" t="s">
        <v>93</v>
      </c>
      <c r="C145" s="22" t="s">
        <v>94</v>
      </c>
      <c r="D145" s="22" t="s">
        <v>310</v>
      </c>
      <c r="E145" s="22" t="s">
        <v>63</v>
      </c>
      <c r="F145" s="22" t="s">
        <v>57</v>
      </c>
      <c r="G145" s="22" t="s">
        <v>175</v>
      </c>
      <c r="H145" s="22" t="s">
        <v>194</v>
      </c>
      <c r="I145" s="23" t="n">
        <v>45548</v>
      </c>
      <c r="J145" s="23" t="n">
        <v>45572</v>
      </c>
      <c r="K145" s="23" t="n">
        <v>45571</v>
      </c>
      <c r="L145" s="0" t="n">
        <v>2000</v>
      </c>
      <c r="M145" s="0" t="n">
        <v>1736</v>
      </c>
      <c r="N145" s="0" t="n">
        <v>24</v>
      </c>
      <c r="O145" s="0" t="n">
        <v>-1</v>
      </c>
      <c r="P145" s="22" t="s">
        <v>95</v>
      </c>
      <c r="Q145" s="22" t="s">
        <v>96</v>
      </c>
      <c r="R145" s="23" t="n">
        <v>45481</v>
      </c>
      <c r="S145" s="0" t="n">
        <v>150000</v>
      </c>
      <c r="T145" s="22" t="s">
        <v>56</v>
      </c>
      <c r="U145" s="22" t="s">
        <v>58</v>
      </c>
      <c r="V145" s="0" t="n">
        <v>150</v>
      </c>
      <c r="W145" s="0" t="n">
        <f aca="false">tbl_Tasks_Clean[[#This Row],[Actual_Cost]]-tbl_Tasks_Clean[[#This Row],[Planned_Cost]]</f>
        <v>-264</v>
      </c>
      <c r="X145" s="22" t="n">
        <f aca="false">IFERROR(tbl_Tasks_Clean[[#This Row],[Actual_Cost]]/tbl_Tasks_Clean[[#This Row],[Planned_Cost]],0)</f>
        <v>0.868</v>
      </c>
      <c r="Y145" s="22" t="str">
        <f aca="false">IF(AND(tbl_Tasks_Clean[[#This Row],[Status]]="Completed",tbl_Tasks_Clean[[#This Row],[Delay_Days]]&lt;=0),"On Time","Late")</f>
        <v>Late</v>
      </c>
      <c r="Z145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45" s="22" t="str">
        <f aca="false">INDEX(tbl_Projects[Project_Manager],MATCH(tbl_Tasks_Clean[[#This Row],[Project_ID]],tbl_Projects[Project_ID],0))</f>
        <v>Youssef Adel</v>
      </c>
      <c r="AB145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46" customFormat="false" ht="14.25" hidden="false" customHeight="false" outlineLevel="0" collapsed="false">
      <c r="A146" s="22" t="s">
        <v>821</v>
      </c>
      <c r="B146" s="22" t="s">
        <v>103</v>
      </c>
      <c r="C146" s="22" t="s">
        <v>104</v>
      </c>
      <c r="D146" s="22" t="s">
        <v>537</v>
      </c>
      <c r="E146" s="22" t="s">
        <v>76</v>
      </c>
      <c r="F146" s="22" t="s">
        <v>24</v>
      </c>
      <c r="G146" s="22" t="s">
        <v>275</v>
      </c>
      <c r="H146" s="22" t="s">
        <v>239</v>
      </c>
      <c r="I146" s="23" t="n">
        <v>45595</v>
      </c>
      <c r="J146" s="23" t="n">
        <v>45609</v>
      </c>
      <c r="K146" s="23" t="n">
        <v>45606</v>
      </c>
      <c r="L146" s="0" t="n">
        <v>4000</v>
      </c>
      <c r="M146" s="0" t="n">
        <v>3665</v>
      </c>
      <c r="N146" s="0" t="n">
        <v>14</v>
      </c>
      <c r="O146" s="0" t="n">
        <v>-3</v>
      </c>
      <c r="P146" s="22" t="s">
        <v>105</v>
      </c>
      <c r="Q146" s="22" t="s">
        <v>106</v>
      </c>
      <c r="R146" s="23" t="n">
        <v>45465</v>
      </c>
      <c r="S146" s="0" t="n">
        <v>75000</v>
      </c>
      <c r="T146" s="22" t="s">
        <v>23</v>
      </c>
      <c r="U146" s="22" t="s">
        <v>22</v>
      </c>
      <c r="V146" s="0" t="n">
        <v>180</v>
      </c>
      <c r="W146" s="0" t="n">
        <f aca="false">tbl_Tasks_Clean[[#This Row],[Actual_Cost]]-tbl_Tasks_Clean[[#This Row],[Planned_Cost]]</f>
        <v>-335</v>
      </c>
      <c r="X146" s="22" t="n">
        <f aca="false">IFERROR(tbl_Tasks_Clean[[#This Row],[Actual_Cost]]/tbl_Tasks_Clean[[#This Row],[Planned_Cost]],0)</f>
        <v>0.91625</v>
      </c>
      <c r="Y146" s="22" t="str">
        <f aca="false">IF(AND(tbl_Tasks_Clean[[#This Row],[Status]]="Completed",tbl_Tasks_Clean[[#This Row],[Delay_Days]]&lt;=0),"On Time","Late")</f>
        <v>On Time</v>
      </c>
      <c r="Z146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46" s="22" t="str">
        <f aca="false">INDEX(tbl_Projects[Project_Manager],MATCH(tbl_Tasks_Clean[[#This Row],[Project_ID]],tbl_Projects[Project_ID],0))</f>
        <v>Laila Samir</v>
      </c>
      <c r="AB146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47" customFormat="false" ht="14.25" hidden="false" customHeight="false" outlineLevel="0" collapsed="false">
      <c r="A147" s="22" t="s">
        <v>825</v>
      </c>
      <c r="B147" s="22" t="s">
        <v>116</v>
      </c>
      <c r="C147" s="22" t="s">
        <v>117</v>
      </c>
      <c r="D147" s="22" t="s">
        <v>826</v>
      </c>
      <c r="E147" s="22" t="s">
        <v>63</v>
      </c>
      <c r="F147" s="22" t="s">
        <v>71</v>
      </c>
      <c r="G147" s="22" t="s">
        <v>175</v>
      </c>
      <c r="H147" s="22" t="s">
        <v>239</v>
      </c>
      <c r="I147" s="23" t="n">
        <v>45554</v>
      </c>
      <c r="J147" s="23" t="n">
        <v>45566</v>
      </c>
      <c r="K147" s="23" t="n">
        <v>45564</v>
      </c>
      <c r="L147" s="0" t="n">
        <v>5000</v>
      </c>
      <c r="N147" s="0" t="n">
        <v>12</v>
      </c>
      <c r="O147" s="0" t="n">
        <v>-2</v>
      </c>
      <c r="P147" s="22" t="s">
        <v>118</v>
      </c>
      <c r="Q147" s="22" t="s">
        <v>106</v>
      </c>
      <c r="R147" s="23" t="n">
        <v>45435</v>
      </c>
      <c r="S147" s="0" t="n">
        <v>120000</v>
      </c>
      <c r="T147" s="22" t="s">
        <v>70</v>
      </c>
      <c r="U147" s="22" t="s">
        <v>67</v>
      </c>
      <c r="V147" s="0" t="n">
        <v>180</v>
      </c>
      <c r="W147" s="0" t="n">
        <f aca="false">tbl_Tasks_Clean[[#This Row],[Actual_Cost]]-tbl_Tasks_Clean[[#This Row],[Planned_Cost]]</f>
        <v>-5000</v>
      </c>
      <c r="X147" s="22" t="n">
        <f aca="false">IFERROR(tbl_Tasks_Clean[[#This Row],[Actual_Cost]]/tbl_Tasks_Clean[[#This Row],[Planned_Cost]],0)</f>
        <v>0</v>
      </c>
      <c r="Y147" s="22" t="str">
        <f aca="false">IF(AND(tbl_Tasks_Clean[[#This Row],[Status]]="Completed",tbl_Tasks_Clean[[#This Row],[Delay_Days]]&lt;=0),"On Time","Late")</f>
        <v>On Time</v>
      </c>
      <c r="Z147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47" s="22" t="str">
        <f aca="false">INDEX(tbl_Projects[Project_Manager],MATCH(tbl_Tasks_Clean[[#This Row],[Project_ID]],tbl_Projects[Project_ID],0))</f>
        <v>Laila Samir</v>
      </c>
      <c r="AB147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48" customFormat="false" ht="14.25" hidden="false" customHeight="false" outlineLevel="0" collapsed="false">
      <c r="A148" s="22" t="s">
        <v>830</v>
      </c>
      <c r="B148" s="22" t="s">
        <v>108</v>
      </c>
      <c r="C148" s="22" t="s">
        <v>109</v>
      </c>
      <c r="D148" s="22" t="s">
        <v>831</v>
      </c>
      <c r="E148" s="22" t="s">
        <v>76</v>
      </c>
      <c r="F148" s="22" t="s">
        <v>6</v>
      </c>
      <c r="G148" s="22" t="s">
        <v>206</v>
      </c>
      <c r="H148" s="22" t="s">
        <v>239</v>
      </c>
      <c r="I148" s="23" t="n">
        <v>45380</v>
      </c>
      <c r="J148" s="23" t="n">
        <v>45403</v>
      </c>
      <c r="K148" s="23" t="n">
        <v>45402</v>
      </c>
      <c r="L148" s="0" t="n">
        <v>2500</v>
      </c>
      <c r="M148" s="0" t="n">
        <v>3431</v>
      </c>
      <c r="N148" s="0" t="n">
        <v>23</v>
      </c>
      <c r="O148" s="0" t="n">
        <v>-1</v>
      </c>
      <c r="P148" s="22" t="s">
        <v>110</v>
      </c>
      <c r="Q148" s="22" t="s">
        <v>101</v>
      </c>
      <c r="R148" s="23" t="n">
        <v>45300</v>
      </c>
      <c r="S148" s="0" t="n">
        <v>50000</v>
      </c>
      <c r="T148" s="22" t="s">
        <v>5</v>
      </c>
      <c r="U148" s="22" t="s">
        <v>8</v>
      </c>
      <c r="V148" s="0" t="n">
        <v>150</v>
      </c>
      <c r="W148" s="0" t="n">
        <f aca="false">tbl_Tasks_Clean[[#This Row],[Actual_Cost]]-tbl_Tasks_Clean[[#This Row],[Planned_Cost]]</f>
        <v>931</v>
      </c>
      <c r="X148" s="22" t="n">
        <f aca="false">IFERROR(tbl_Tasks_Clean[[#This Row],[Actual_Cost]]/tbl_Tasks_Clean[[#This Row],[Planned_Cost]],0)</f>
        <v>1.3724</v>
      </c>
      <c r="Y148" s="22" t="str">
        <f aca="false">IF(AND(tbl_Tasks_Clean[[#This Row],[Status]]="Completed",tbl_Tasks_Clean[[#This Row],[Delay_Days]]&lt;=0),"On Time","Late")</f>
        <v>On Time</v>
      </c>
      <c r="Z148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48" s="22" t="str">
        <f aca="false">INDEX(tbl_Projects[Project_Manager],MATCH(tbl_Tasks_Clean[[#This Row],[Project_ID]],tbl_Projects[Project_ID],0))</f>
        <v>Ahmed Nabil</v>
      </c>
      <c r="AB148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49" customFormat="false" ht="14.25" hidden="false" customHeight="false" outlineLevel="0" collapsed="false">
      <c r="A149" s="22" t="s">
        <v>835</v>
      </c>
      <c r="B149" s="22" t="s">
        <v>147</v>
      </c>
      <c r="C149" s="22" t="s">
        <v>148</v>
      </c>
      <c r="D149" s="22" t="s">
        <v>462</v>
      </c>
      <c r="E149" s="22" t="s">
        <v>44</v>
      </c>
      <c r="F149" s="22" t="s">
        <v>33</v>
      </c>
      <c r="G149" s="22" t="s">
        <v>275</v>
      </c>
      <c r="H149" s="22" t="s">
        <v>239</v>
      </c>
      <c r="I149" s="23" t="n">
        <v>45509</v>
      </c>
      <c r="J149" s="23" t="n">
        <v>45538</v>
      </c>
      <c r="K149" s="23" t="n">
        <v>45540</v>
      </c>
      <c r="L149" s="0" t="n">
        <v>1500</v>
      </c>
      <c r="M149" s="0" t="n">
        <v>1522</v>
      </c>
      <c r="N149" s="0" t="n">
        <v>29</v>
      </c>
      <c r="O149" s="0" t="n">
        <v>2</v>
      </c>
      <c r="P149" s="22" t="s">
        <v>118</v>
      </c>
      <c r="Q149" s="22" t="s">
        <v>123</v>
      </c>
      <c r="R149" s="23" t="n">
        <v>45388</v>
      </c>
      <c r="S149" s="0" t="n">
        <v>75000</v>
      </c>
      <c r="T149" s="22" t="s">
        <v>32</v>
      </c>
      <c r="U149" s="22" t="s">
        <v>35</v>
      </c>
      <c r="V149" s="0" t="n">
        <v>250</v>
      </c>
      <c r="W149" s="0" t="n">
        <f aca="false">tbl_Tasks_Clean[[#This Row],[Actual_Cost]]-tbl_Tasks_Clean[[#This Row],[Planned_Cost]]</f>
        <v>22</v>
      </c>
      <c r="X149" s="22" t="n">
        <f aca="false">IFERROR(tbl_Tasks_Clean[[#This Row],[Actual_Cost]]/tbl_Tasks_Clean[[#This Row],[Planned_Cost]],0)</f>
        <v>1.01466666666667</v>
      </c>
      <c r="Y149" s="22" t="str">
        <f aca="false">IF(AND(tbl_Tasks_Clean[[#This Row],[Status]]="Completed",tbl_Tasks_Clean[[#This Row],[Delay_Days]]&lt;=0),"On Time","Late")</f>
        <v>Late</v>
      </c>
      <c r="Z149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49" s="22" t="str">
        <f aca="false">INDEX(tbl_Projects[Project_Manager],MATCH(tbl_Tasks_Clean[[#This Row],[Project_ID]],tbl_Projects[Project_ID],0))</f>
        <v>Nourhan Tarek</v>
      </c>
      <c r="AB149" s="22" t="str">
        <f aca="false">IF(tbl_Tasks_Clean[[#This Row],[Delay_Days]]&gt;0,"Delayed by "&amp;TEXT(DATEDIF(tbl_Tasks_Clean[[#This Row],[Planned_End_Date]],tbl_Tasks_Clean[[#This Row],[Actual_End_Date]],"d"),"0")&amp;" days","No delay")</f>
        <v>Delayed by 2 days</v>
      </c>
    </row>
    <row r="150" customFormat="false" ht="14.25" hidden="false" customHeight="false" outlineLevel="0" collapsed="false">
      <c r="A150" s="22" t="s">
        <v>839</v>
      </c>
      <c r="B150" s="22" t="s">
        <v>147</v>
      </c>
      <c r="C150" s="22" t="s">
        <v>148</v>
      </c>
      <c r="D150" s="22" t="s">
        <v>840</v>
      </c>
      <c r="E150" s="22" t="s">
        <v>63</v>
      </c>
      <c r="F150" s="22" t="s">
        <v>71</v>
      </c>
      <c r="G150" s="22" t="s">
        <v>206</v>
      </c>
      <c r="H150" s="22" t="s">
        <v>194</v>
      </c>
      <c r="I150" s="23" t="n">
        <v>45526</v>
      </c>
      <c r="J150" s="23" t="n">
        <v>45537</v>
      </c>
      <c r="K150" s="23" t="n">
        <v>45551</v>
      </c>
      <c r="L150" s="0" t="n">
        <v>6000</v>
      </c>
      <c r="M150" s="0" t="n">
        <v>4767</v>
      </c>
      <c r="N150" s="0" t="n">
        <v>11</v>
      </c>
      <c r="O150" s="0" t="n">
        <v>14</v>
      </c>
      <c r="P150" s="22" t="s">
        <v>118</v>
      </c>
      <c r="Q150" s="22" t="s">
        <v>123</v>
      </c>
      <c r="R150" s="23" t="n">
        <v>45388</v>
      </c>
      <c r="S150" s="0" t="n">
        <v>75000</v>
      </c>
      <c r="T150" s="22" t="s">
        <v>70</v>
      </c>
      <c r="U150" s="22" t="s">
        <v>67</v>
      </c>
      <c r="V150" s="0" t="n">
        <v>180</v>
      </c>
      <c r="W150" s="0" t="n">
        <f aca="false">tbl_Tasks_Clean[[#This Row],[Actual_Cost]]-tbl_Tasks_Clean[[#This Row],[Planned_Cost]]</f>
        <v>-1233</v>
      </c>
      <c r="X150" s="22" t="n">
        <f aca="false">IFERROR(tbl_Tasks_Clean[[#This Row],[Actual_Cost]]/tbl_Tasks_Clean[[#This Row],[Planned_Cost]],0)</f>
        <v>0.7945</v>
      </c>
      <c r="Y150" s="22" t="str">
        <f aca="false">IF(AND(tbl_Tasks_Clean[[#This Row],[Status]]="Completed",tbl_Tasks_Clean[[#This Row],[Delay_Days]]&lt;=0),"On Time","Late")</f>
        <v>Late</v>
      </c>
      <c r="Z150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50" s="22" t="str">
        <f aca="false">INDEX(tbl_Projects[Project_Manager],MATCH(tbl_Tasks_Clean[[#This Row],[Project_ID]],tbl_Projects[Project_ID],0))</f>
        <v>Nourhan Tarek</v>
      </c>
      <c r="AB150" s="22" t="str">
        <f aca="false">IF(tbl_Tasks_Clean[[#This Row],[Delay_Days]]&gt;0,"Delayed by "&amp;TEXT(DATEDIF(tbl_Tasks_Clean[[#This Row],[Planned_End_Date]],tbl_Tasks_Clean[[#This Row],[Actual_End_Date]],"d"),"0")&amp;" days","No delay")</f>
        <v>Delayed by 14 days</v>
      </c>
    </row>
    <row r="151" customFormat="false" ht="14.25" hidden="false" customHeight="false" outlineLevel="0" collapsed="false">
      <c r="A151" s="22" t="s">
        <v>844</v>
      </c>
      <c r="B151" s="22" t="s">
        <v>98</v>
      </c>
      <c r="C151" s="22" t="s">
        <v>99</v>
      </c>
      <c r="D151" s="22" t="s">
        <v>845</v>
      </c>
      <c r="E151" s="22" t="s">
        <v>21</v>
      </c>
      <c r="F151" s="22" t="s">
        <v>47</v>
      </c>
      <c r="G151" s="22" t="s">
        <v>275</v>
      </c>
      <c r="H151" s="22" t="s">
        <v>239</v>
      </c>
      <c r="I151" s="23" t="n">
        <v>45427</v>
      </c>
      <c r="J151" s="23" t="n">
        <v>45449</v>
      </c>
      <c r="K151" s="23" t="n">
        <v>45451</v>
      </c>
      <c r="L151" s="0" t="n">
        <v>10000</v>
      </c>
      <c r="M151" s="0" t="n">
        <v>13448</v>
      </c>
      <c r="N151" s="0" t="n">
        <v>22</v>
      </c>
      <c r="O151" s="0" t="n">
        <v>2</v>
      </c>
      <c r="P151" s="22" t="s">
        <v>100</v>
      </c>
      <c r="Q151" s="22" t="s">
        <v>101</v>
      </c>
      <c r="R151" s="23" t="n">
        <v>45349</v>
      </c>
      <c r="S151" s="0" t="n">
        <v>100000</v>
      </c>
      <c r="T151" s="22" t="s">
        <v>46</v>
      </c>
      <c r="U151" s="22" t="s">
        <v>48</v>
      </c>
      <c r="V151" s="0" t="n">
        <v>280</v>
      </c>
      <c r="W151" s="0" t="n">
        <f aca="false">tbl_Tasks_Clean[[#This Row],[Actual_Cost]]-tbl_Tasks_Clean[[#This Row],[Planned_Cost]]</f>
        <v>3448</v>
      </c>
      <c r="X151" s="22" t="n">
        <f aca="false">IFERROR(tbl_Tasks_Clean[[#This Row],[Actual_Cost]]/tbl_Tasks_Clean[[#This Row],[Planned_Cost]],0)</f>
        <v>1.3448</v>
      </c>
      <c r="Y151" s="22" t="str">
        <f aca="false">IF(AND(tbl_Tasks_Clean[[#This Row],[Status]]="Completed",tbl_Tasks_Clean[[#This Row],[Delay_Days]]&lt;=0),"On Time","Late")</f>
        <v>Late</v>
      </c>
      <c r="Z151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51" s="22" t="str">
        <f aca="false">INDEX(tbl_Projects[Project_Manager],MATCH(tbl_Tasks_Clean[[#This Row],[Project_ID]],tbl_Projects[Project_ID],0))</f>
        <v>Ahmed Nabil</v>
      </c>
      <c r="AB151" s="22" t="str">
        <f aca="false">IF(tbl_Tasks_Clean[[#This Row],[Delay_Days]]&gt;0,"Delayed by "&amp;TEXT(DATEDIF(tbl_Tasks_Clean[[#This Row],[Planned_End_Date]],tbl_Tasks_Clean[[#This Row],[Actual_End_Date]],"d"),"0")&amp;" days","No delay")</f>
        <v>Delayed by 2 days</v>
      </c>
    </row>
    <row r="152" customFormat="false" ht="14.25" hidden="false" customHeight="false" outlineLevel="0" collapsed="false">
      <c r="A152" s="22" t="s">
        <v>848</v>
      </c>
      <c r="B152" s="22" t="s">
        <v>93</v>
      </c>
      <c r="C152" s="22" t="s">
        <v>94</v>
      </c>
      <c r="D152" s="22" t="s">
        <v>396</v>
      </c>
      <c r="E152" s="22" t="s">
        <v>34</v>
      </c>
      <c r="F152" s="22" t="s">
        <v>40</v>
      </c>
      <c r="G152" s="22" t="s">
        <v>175</v>
      </c>
      <c r="H152" s="22" t="s">
        <v>212</v>
      </c>
      <c r="I152" s="23" t="n">
        <v>45600</v>
      </c>
      <c r="J152" s="23" t="n">
        <v>45607</v>
      </c>
      <c r="K152" s="23"/>
      <c r="L152" s="0" t="n">
        <v>10000</v>
      </c>
      <c r="M152" s="0" t="n">
        <v>5205</v>
      </c>
      <c r="N152" s="0" t="n">
        <v>7</v>
      </c>
      <c r="O152" s="0" t="n">
        <v>0</v>
      </c>
      <c r="P152" s="22" t="s">
        <v>95</v>
      </c>
      <c r="Q152" s="22" t="s">
        <v>96</v>
      </c>
      <c r="R152" s="23" t="n">
        <v>45481</v>
      </c>
      <c r="S152" s="0" t="n">
        <v>150000</v>
      </c>
      <c r="T152" s="22" t="s">
        <v>39</v>
      </c>
      <c r="U152" s="22" t="s">
        <v>41</v>
      </c>
      <c r="V152" s="0" t="n">
        <v>220</v>
      </c>
      <c r="W152" s="0" t="n">
        <f aca="false">tbl_Tasks_Clean[[#This Row],[Actual_Cost]]-tbl_Tasks_Clean[[#This Row],[Planned_Cost]]</f>
        <v>-4795</v>
      </c>
      <c r="X152" s="22" t="n">
        <f aca="false">IFERROR(tbl_Tasks_Clean[[#This Row],[Actual_Cost]]/tbl_Tasks_Clean[[#This Row],[Planned_Cost]],0)</f>
        <v>0.5205</v>
      </c>
      <c r="Y152" s="22" t="str">
        <f aca="false">IF(AND(tbl_Tasks_Clean[[#This Row],[Status]]="Completed",tbl_Tasks_Clean[[#This Row],[Delay_Days]]&lt;=0),"On Time","Late")</f>
        <v>Late</v>
      </c>
      <c r="Z152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152" s="22" t="str">
        <f aca="false">INDEX(tbl_Projects[Project_Manager],MATCH(tbl_Tasks_Clean[[#This Row],[Project_ID]],tbl_Projects[Project_ID],0))</f>
        <v>Youssef Adel</v>
      </c>
      <c r="AB152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53" customFormat="false" ht="14.25" hidden="false" customHeight="false" outlineLevel="0" collapsed="false">
      <c r="A153" s="22" t="s">
        <v>851</v>
      </c>
      <c r="B153" s="22" t="s">
        <v>112</v>
      </c>
      <c r="C153" s="22" t="s">
        <v>113</v>
      </c>
      <c r="D153" s="22" t="s">
        <v>934</v>
      </c>
      <c r="E153" s="22" t="s">
        <v>54</v>
      </c>
      <c r="F153" s="22" t="s">
        <v>79</v>
      </c>
      <c r="G153" s="22" t="s">
        <v>206</v>
      </c>
      <c r="H153" s="22" t="s">
        <v>239</v>
      </c>
      <c r="I153" s="23" t="n">
        <v>45421</v>
      </c>
      <c r="J153" s="23" t="n">
        <v>45444</v>
      </c>
      <c r="K153" s="23" t="n">
        <v>45443</v>
      </c>
      <c r="L153" s="0" t="n">
        <v>6000</v>
      </c>
      <c r="M153" s="0" t="n">
        <v>5228</v>
      </c>
      <c r="N153" s="0" t="n">
        <v>23</v>
      </c>
      <c r="O153" s="0" t="n">
        <v>-1</v>
      </c>
      <c r="P153" s="22" t="s">
        <v>114</v>
      </c>
      <c r="Q153" s="22" t="s">
        <v>91</v>
      </c>
      <c r="R153" s="23" t="n">
        <v>45347</v>
      </c>
      <c r="S153" s="0" t="n">
        <v>120000</v>
      </c>
      <c r="T153" s="22" t="s">
        <v>78</v>
      </c>
      <c r="U153" s="22" t="s">
        <v>77</v>
      </c>
      <c r="V153" s="0" t="n">
        <v>250</v>
      </c>
      <c r="W153" s="0" t="n">
        <f aca="false">tbl_Tasks_Clean[[#This Row],[Actual_Cost]]-tbl_Tasks_Clean[[#This Row],[Planned_Cost]]</f>
        <v>-772</v>
      </c>
      <c r="X153" s="22" t="n">
        <f aca="false">IFERROR(tbl_Tasks_Clean[[#This Row],[Actual_Cost]]/tbl_Tasks_Clean[[#This Row],[Planned_Cost]],0)</f>
        <v>0.871333333333333</v>
      </c>
      <c r="Y153" s="22" t="str">
        <f aca="false">IF(AND(tbl_Tasks_Clean[[#This Row],[Status]]="Completed",tbl_Tasks_Clean[[#This Row],[Delay_Days]]&lt;=0),"On Time","Late")</f>
        <v>On Time</v>
      </c>
      <c r="Z153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53" s="22" t="str">
        <f aca="false">INDEX(tbl_Projects[Project_Manager],MATCH(tbl_Tasks_Clean[[#This Row],[Project_ID]],tbl_Projects[Project_ID],0))</f>
        <v>Mona Farid</v>
      </c>
      <c r="AB153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54" customFormat="false" ht="14.25" hidden="false" customHeight="false" outlineLevel="0" collapsed="false">
      <c r="A154" s="22" t="s">
        <v>856</v>
      </c>
      <c r="B154" s="22" t="s">
        <v>112</v>
      </c>
      <c r="C154" s="22" t="s">
        <v>113</v>
      </c>
      <c r="D154" s="22" t="s">
        <v>857</v>
      </c>
      <c r="E154" s="22" t="s">
        <v>63</v>
      </c>
      <c r="F154" s="22" t="s">
        <v>73</v>
      </c>
      <c r="G154" s="22" t="s">
        <v>206</v>
      </c>
      <c r="H154" s="22" t="s">
        <v>212</v>
      </c>
      <c r="I154" s="23" t="n">
        <v>45375</v>
      </c>
      <c r="J154" s="23" t="n">
        <v>45391</v>
      </c>
      <c r="K154" s="23"/>
      <c r="L154" s="0" t="n">
        <v>10000</v>
      </c>
      <c r="M154" s="0" t="n">
        <v>3846</v>
      </c>
      <c r="N154" s="0" t="n">
        <v>16</v>
      </c>
      <c r="O154" s="0" t="n">
        <v>0</v>
      </c>
      <c r="P154" s="22" t="s">
        <v>114</v>
      </c>
      <c r="Q154" s="22" t="s">
        <v>91</v>
      </c>
      <c r="R154" s="23" t="n">
        <v>45347</v>
      </c>
      <c r="S154" s="0" t="n">
        <v>120000</v>
      </c>
      <c r="T154" s="22" t="s">
        <v>72</v>
      </c>
      <c r="U154" s="22" t="s">
        <v>67</v>
      </c>
      <c r="V154" s="0" t="n">
        <v>200</v>
      </c>
      <c r="W154" s="0" t="n">
        <f aca="false">tbl_Tasks_Clean[[#This Row],[Actual_Cost]]-tbl_Tasks_Clean[[#This Row],[Planned_Cost]]</f>
        <v>-6154</v>
      </c>
      <c r="X154" s="22" t="n">
        <f aca="false">IFERROR(tbl_Tasks_Clean[[#This Row],[Actual_Cost]]/tbl_Tasks_Clean[[#This Row],[Planned_Cost]],0)</f>
        <v>0.3846</v>
      </c>
      <c r="Y154" s="22" t="str">
        <f aca="false">IF(AND(tbl_Tasks_Clean[[#This Row],[Status]]="Completed",tbl_Tasks_Clean[[#This Row],[Delay_Days]]&lt;=0),"On Time","Late")</f>
        <v>Late</v>
      </c>
      <c r="Z154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54" s="22" t="str">
        <f aca="false">INDEX(tbl_Projects[Project_Manager],MATCH(tbl_Tasks_Clean[[#This Row],[Project_ID]],tbl_Projects[Project_ID],0))</f>
        <v>Mona Farid</v>
      </c>
      <c r="AB154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55" customFormat="false" ht="14.25" hidden="false" customHeight="false" outlineLevel="0" collapsed="false">
      <c r="A155" s="22" t="s">
        <v>860</v>
      </c>
      <c r="B155" s="22" t="s">
        <v>108</v>
      </c>
      <c r="C155" s="22" t="s">
        <v>109</v>
      </c>
      <c r="D155" s="22" t="s">
        <v>861</v>
      </c>
      <c r="E155" s="22" t="s">
        <v>34</v>
      </c>
      <c r="F155" s="22" t="s">
        <v>66</v>
      </c>
      <c r="G155" s="22" t="s">
        <v>206</v>
      </c>
      <c r="H155" s="22" t="s">
        <v>212</v>
      </c>
      <c r="I155" s="23" t="n">
        <v>45307</v>
      </c>
      <c r="J155" s="23" t="n">
        <v>45320</v>
      </c>
      <c r="K155" s="23"/>
      <c r="L155" s="0" t="n">
        <v>1500</v>
      </c>
      <c r="M155" s="0" t="n">
        <v>1055</v>
      </c>
      <c r="N155" s="0" t="n">
        <v>13</v>
      </c>
      <c r="O155" s="0" t="n">
        <v>0</v>
      </c>
      <c r="P155" s="22" t="s">
        <v>110</v>
      </c>
      <c r="Q155" s="22" t="s">
        <v>101</v>
      </c>
      <c r="R155" s="23" t="n">
        <v>45300</v>
      </c>
      <c r="S155" s="0" t="n">
        <v>50000</v>
      </c>
      <c r="T155" s="22" t="s">
        <v>65</v>
      </c>
      <c r="U155" s="22" t="s">
        <v>67</v>
      </c>
      <c r="V155" s="0" t="n">
        <v>250</v>
      </c>
      <c r="W155" s="0" t="n">
        <f aca="false">tbl_Tasks_Clean[[#This Row],[Actual_Cost]]-tbl_Tasks_Clean[[#This Row],[Planned_Cost]]</f>
        <v>-445</v>
      </c>
      <c r="X155" s="22" t="n">
        <f aca="false">IFERROR(tbl_Tasks_Clean[[#This Row],[Actual_Cost]]/tbl_Tasks_Clean[[#This Row],[Planned_Cost]],0)</f>
        <v>0.703333333333333</v>
      </c>
      <c r="Y155" s="22" t="str">
        <f aca="false">IF(AND(tbl_Tasks_Clean[[#This Row],[Status]]="Completed",tbl_Tasks_Clean[[#This Row],[Delay_Days]]&lt;=0),"On Time","Late")</f>
        <v>Late</v>
      </c>
      <c r="Z155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55" s="22" t="str">
        <f aca="false">INDEX(tbl_Projects[Project_Manager],MATCH(tbl_Tasks_Clean[[#This Row],[Project_ID]],tbl_Projects[Project_ID],0))</f>
        <v>Ahmed Nabil</v>
      </c>
      <c r="AB155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56" customFormat="false" ht="14.25" hidden="false" customHeight="false" outlineLevel="0" collapsed="false">
      <c r="A156" s="22" t="s">
        <v>864</v>
      </c>
      <c r="B156" s="22" t="s">
        <v>120</v>
      </c>
      <c r="C156" s="22" t="s">
        <v>121</v>
      </c>
      <c r="D156" s="22" t="s">
        <v>314</v>
      </c>
      <c r="E156" s="22" t="s">
        <v>54</v>
      </c>
      <c r="F156" s="22" t="s">
        <v>71</v>
      </c>
      <c r="G156" s="22" t="s">
        <v>206</v>
      </c>
      <c r="H156" s="22" t="s">
        <v>239</v>
      </c>
      <c r="I156" s="23" t="n">
        <v>45443</v>
      </c>
      <c r="J156" s="23" t="n">
        <v>45458</v>
      </c>
      <c r="K156" s="23" t="n">
        <v>45458</v>
      </c>
      <c r="L156" s="0" t="n">
        <v>10000</v>
      </c>
      <c r="M156" s="0" t="n">
        <v>8702</v>
      </c>
      <c r="N156" s="0" t="n">
        <v>15</v>
      </c>
      <c r="O156" s="0" t="n">
        <v>0</v>
      </c>
      <c r="P156" s="22" t="s">
        <v>122</v>
      </c>
      <c r="Q156" s="22" t="s">
        <v>123</v>
      </c>
      <c r="R156" s="23" t="n">
        <v>45348</v>
      </c>
      <c r="S156" s="0" t="n">
        <v>300000</v>
      </c>
      <c r="T156" s="22" t="s">
        <v>70</v>
      </c>
      <c r="U156" s="22" t="s">
        <v>67</v>
      </c>
      <c r="V156" s="0" t="n">
        <v>180</v>
      </c>
      <c r="W156" s="0" t="n">
        <f aca="false">tbl_Tasks_Clean[[#This Row],[Actual_Cost]]-tbl_Tasks_Clean[[#This Row],[Planned_Cost]]</f>
        <v>-1298</v>
      </c>
      <c r="X156" s="22" t="n">
        <f aca="false">IFERROR(tbl_Tasks_Clean[[#This Row],[Actual_Cost]]/tbl_Tasks_Clean[[#This Row],[Planned_Cost]],0)</f>
        <v>0.8702</v>
      </c>
      <c r="Y156" s="22" t="str">
        <f aca="false">IF(AND(tbl_Tasks_Clean[[#This Row],[Status]]="Completed",tbl_Tasks_Clean[[#This Row],[Delay_Days]]&lt;=0),"On Time","Late")</f>
        <v>On Time</v>
      </c>
      <c r="Z156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56" s="22" t="str">
        <f aca="false">INDEX(tbl_Projects[Project_Manager],MATCH(tbl_Tasks_Clean[[#This Row],[Project_ID]],tbl_Projects[Project_ID],0))</f>
        <v>Nourhan Tarek</v>
      </c>
      <c r="AB156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57" customFormat="false" ht="14.25" hidden="false" customHeight="false" outlineLevel="0" collapsed="false">
      <c r="A157" s="22" t="s">
        <v>867</v>
      </c>
      <c r="B157" s="22" t="s">
        <v>129</v>
      </c>
      <c r="C157" s="22" t="s">
        <v>130</v>
      </c>
      <c r="D157" s="22" t="s">
        <v>611</v>
      </c>
      <c r="E157" s="22" t="s">
        <v>54</v>
      </c>
      <c r="F157" s="22" t="s">
        <v>43</v>
      </c>
      <c r="G157" s="22" t="s">
        <v>206</v>
      </c>
      <c r="H157" s="22" t="s">
        <v>239</v>
      </c>
      <c r="I157" s="23" t="n">
        <v>45501</v>
      </c>
      <c r="J157" s="23" t="n">
        <v>45505</v>
      </c>
      <c r="K157" s="23" t="n">
        <v>45502</v>
      </c>
      <c r="L157" s="0" t="n">
        <v>3000</v>
      </c>
      <c r="M157" s="0" t="n">
        <v>2904</v>
      </c>
      <c r="N157" s="0" t="n">
        <v>4</v>
      </c>
      <c r="O157" s="0" t="n">
        <v>-3</v>
      </c>
      <c r="P157" s="22" t="s">
        <v>118</v>
      </c>
      <c r="Q157" s="22" t="s">
        <v>131</v>
      </c>
      <c r="R157" s="23" t="n">
        <v>45379</v>
      </c>
      <c r="S157" s="0" t="n">
        <v>150000</v>
      </c>
      <c r="T157" s="22" t="s">
        <v>42</v>
      </c>
      <c r="U157" s="22" t="s">
        <v>45</v>
      </c>
      <c r="V157" s="0" t="n">
        <v>220</v>
      </c>
      <c r="W157" s="0" t="n">
        <f aca="false">tbl_Tasks_Clean[[#This Row],[Actual_Cost]]-tbl_Tasks_Clean[[#This Row],[Planned_Cost]]</f>
        <v>-96</v>
      </c>
      <c r="X157" s="22" t="n">
        <f aca="false">IFERROR(tbl_Tasks_Clean[[#This Row],[Actual_Cost]]/tbl_Tasks_Clean[[#This Row],[Planned_Cost]],0)</f>
        <v>0.968</v>
      </c>
      <c r="Y157" s="22" t="str">
        <f aca="false">IF(AND(tbl_Tasks_Clean[[#This Row],[Status]]="Completed",tbl_Tasks_Clean[[#This Row],[Delay_Days]]&lt;=0),"On Time","Late")</f>
        <v>On Time</v>
      </c>
      <c r="Z157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157" s="22" t="str">
        <f aca="false">INDEX(tbl_Projects[Project_Manager],MATCH(tbl_Tasks_Clean[[#This Row],[Project_ID]],tbl_Projects[Project_ID],0))</f>
        <v>Sara Hassan</v>
      </c>
      <c r="AB157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58" customFormat="false" ht="14.25" hidden="false" customHeight="false" outlineLevel="0" collapsed="false">
      <c r="A158" s="22" t="s">
        <v>870</v>
      </c>
      <c r="B158" s="22" t="s">
        <v>133</v>
      </c>
      <c r="C158" s="22" t="s">
        <v>134</v>
      </c>
      <c r="D158" s="22" t="s">
        <v>871</v>
      </c>
      <c r="E158" s="22" t="s">
        <v>44</v>
      </c>
      <c r="F158" s="22" t="s">
        <v>69</v>
      </c>
      <c r="G158" s="22" t="s">
        <v>275</v>
      </c>
      <c r="H158" s="22" t="s">
        <v>239</v>
      </c>
      <c r="I158" s="23" t="n">
        <v>45403</v>
      </c>
      <c r="J158" s="23" t="n">
        <v>45427</v>
      </c>
      <c r="K158" s="23" t="n">
        <v>45428</v>
      </c>
      <c r="L158" s="0" t="n">
        <v>6000</v>
      </c>
      <c r="M158" s="0" t="n">
        <v>8007</v>
      </c>
      <c r="N158" s="0" t="n">
        <v>24</v>
      </c>
      <c r="O158" s="0" t="n">
        <v>1</v>
      </c>
      <c r="P158" s="22" t="s">
        <v>135</v>
      </c>
      <c r="Q158" s="22" t="s">
        <v>101</v>
      </c>
      <c r="R158" s="23" t="n">
        <v>45347</v>
      </c>
      <c r="S158" s="0" t="n">
        <v>200000</v>
      </c>
      <c r="T158" s="22" t="s">
        <v>68</v>
      </c>
      <c r="U158" s="22" t="s">
        <v>67</v>
      </c>
      <c r="V158" s="0" t="n">
        <v>180</v>
      </c>
      <c r="W158" s="0" t="n">
        <f aca="false">tbl_Tasks_Clean[[#This Row],[Actual_Cost]]-tbl_Tasks_Clean[[#This Row],[Planned_Cost]]</f>
        <v>2007</v>
      </c>
      <c r="X158" s="22" t="n">
        <f aca="false">IFERROR(tbl_Tasks_Clean[[#This Row],[Actual_Cost]]/tbl_Tasks_Clean[[#This Row],[Planned_Cost]],0)</f>
        <v>1.3345</v>
      </c>
      <c r="Y158" s="22" t="str">
        <f aca="false">IF(AND(tbl_Tasks_Clean[[#This Row],[Status]]="Completed",tbl_Tasks_Clean[[#This Row],[Delay_Days]]&lt;=0),"On Time","Late")</f>
        <v>Late</v>
      </c>
      <c r="Z158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58" s="22" t="str">
        <f aca="false">INDEX(tbl_Projects[Project_Manager],MATCH(tbl_Tasks_Clean[[#This Row],[Project_ID]],tbl_Projects[Project_ID],0))</f>
        <v>Ahmed Nabil</v>
      </c>
      <c r="AB158" s="22" t="str">
        <f aca="false">IF(tbl_Tasks_Clean[[#This Row],[Delay_Days]]&gt;0,"Delayed by "&amp;TEXT(DATEDIF(tbl_Tasks_Clean[[#This Row],[Planned_End_Date]],tbl_Tasks_Clean[[#This Row],[Actual_End_Date]],"d"),"0")&amp;" days","No delay")</f>
        <v>Delayed by 1 days</v>
      </c>
    </row>
    <row r="159" customFormat="false" ht="14.25" hidden="false" customHeight="false" outlineLevel="0" collapsed="false">
      <c r="A159" s="22" t="s">
        <v>874</v>
      </c>
      <c r="B159" s="22" t="s">
        <v>143</v>
      </c>
      <c r="C159" s="22" t="s">
        <v>144</v>
      </c>
      <c r="D159" s="22" t="s">
        <v>875</v>
      </c>
      <c r="E159" s="22" t="s">
        <v>7</v>
      </c>
      <c r="F159" s="22" t="s">
        <v>81</v>
      </c>
      <c r="G159" s="22" t="s">
        <v>275</v>
      </c>
      <c r="H159" s="22" t="s">
        <v>212</v>
      </c>
      <c r="I159" s="23" t="n">
        <v>45354</v>
      </c>
      <c r="J159" s="23" t="n">
        <v>45373</v>
      </c>
      <c r="K159" s="23"/>
      <c r="L159" s="0" t="n">
        <v>8000</v>
      </c>
      <c r="N159" s="0" t="n">
        <v>19</v>
      </c>
      <c r="O159" s="0" t="n">
        <v>0</v>
      </c>
      <c r="P159" s="22" t="s">
        <v>145</v>
      </c>
      <c r="Q159" s="22" t="s">
        <v>101</v>
      </c>
      <c r="R159" s="23" t="n">
        <v>45303</v>
      </c>
      <c r="S159" s="0" t="n">
        <v>300000</v>
      </c>
      <c r="T159" s="22" t="s">
        <v>80</v>
      </c>
      <c r="U159" s="22" t="s">
        <v>77</v>
      </c>
      <c r="V159" s="0" t="n">
        <v>200</v>
      </c>
      <c r="W159" s="0" t="n">
        <f aca="false">tbl_Tasks_Clean[[#This Row],[Actual_Cost]]-tbl_Tasks_Clean[[#This Row],[Planned_Cost]]</f>
        <v>-8000</v>
      </c>
      <c r="X159" s="22" t="n">
        <f aca="false">IFERROR(tbl_Tasks_Clean[[#This Row],[Actual_Cost]]/tbl_Tasks_Clean[[#This Row],[Planned_Cost]],0)</f>
        <v>0</v>
      </c>
      <c r="Y159" s="22" t="str">
        <f aca="false">IF(AND(tbl_Tasks_Clean[[#This Row],[Status]]="Completed",tbl_Tasks_Clean[[#This Row],[Delay_Days]]&lt;=0),"On Time","Late")</f>
        <v>Late</v>
      </c>
      <c r="Z159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59" s="22" t="str">
        <f aca="false">INDEX(tbl_Projects[Project_Manager],MATCH(tbl_Tasks_Clean[[#This Row],[Project_ID]],tbl_Projects[Project_ID],0))</f>
        <v>Ahmed Nabil</v>
      </c>
      <c r="AB159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60" customFormat="false" ht="14.25" hidden="false" customHeight="false" outlineLevel="0" collapsed="false">
      <c r="A160" s="22" t="s">
        <v>878</v>
      </c>
      <c r="B160" s="22" t="s">
        <v>125</v>
      </c>
      <c r="C160" s="22" t="s">
        <v>126</v>
      </c>
      <c r="D160" s="22" t="s">
        <v>879</v>
      </c>
      <c r="E160" s="22" t="s">
        <v>21</v>
      </c>
      <c r="F160" s="22" t="s">
        <v>47</v>
      </c>
      <c r="G160" s="22" t="s">
        <v>175</v>
      </c>
      <c r="H160" s="22" t="s">
        <v>194</v>
      </c>
      <c r="I160" s="23" t="n">
        <v>45397</v>
      </c>
      <c r="J160" s="23" t="n">
        <v>45421</v>
      </c>
      <c r="K160" s="23" t="n">
        <v>45433</v>
      </c>
      <c r="L160" s="0" t="n">
        <v>5000</v>
      </c>
      <c r="M160" s="0" t="n">
        <v>5985</v>
      </c>
      <c r="N160" s="0" t="n">
        <v>24</v>
      </c>
      <c r="O160" s="0" t="n">
        <v>12</v>
      </c>
      <c r="P160" s="22" t="s">
        <v>127</v>
      </c>
      <c r="Q160" s="22" t="s">
        <v>106</v>
      </c>
      <c r="R160" s="23" t="n">
        <v>45293</v>
      </c>
      <c r="S160" s="0" t="n">
        <v>100000</v>
      </c>
      <c r="T160" s="22" t="s">
        <v>46</v>
      </c>
      <c r="U160" s="22" t="s">
        <v>48</v>
      </c>
      <c r="V160" s="0" t="n">
        <v>280</v>
      </c>
      <c r="W160" s="0" t="n">
        <f aca="false">tbl_Tasks_Clean[[#This Row],[Actual_Cost]]-tbl_Tasks_Clean[[#This Row],[Planned_Cost]]</f>
        <v>985</v>
      </c>
      <c r="X160" s="22" t="n">
        <f aca="false">IFERROR(tbl_Tasks_Clean[[#This Row],[Actual_Cost]]/tbl_Tasks_Clean[[#This Row],[Planned_Cost]],0)</f>
        <v>1.197</v>
      </c>
      <c r="Y160" s="22" t="str">
        <f aca="false">IF(AND(tbl_Tasks_Clean[[#This Row],[Status]]="Completed",tbl_Tasks_Clean[[#This Row],[Delay_Days]]&lt;=0),"On Time","Late")</f>
        <v>Late</v>
      </c>
      <c r="Z160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60" s="22" t="str">
        <f aca="false">INDEX(tbl_Projects[Project_Manager],MATCH(tbl_Tasks_Clean[[#This Row],[Project_ID]],tbl_Projects[Project_ID],0))</f>
        <v>Laila Samir</v>
      </c>
      <c r="AB160" s="22" t="str">
        <f aca="false">IF(tbl_Tasks_Clean[[#This Row],[Delay_Days]]&gt;0,"Delayed by "&amp;TEXT(DATEDIF(tbl_Tasks_Clean[[#This Row],[Planned_End_Date]],tbl_Tasks_Clean[[#This Row],[Actual_End_Date]],"d"),"0")&amp;" days","No delay")</f>
        <v>Delayed by 12 days</v>
      </c>
    </row>
    <row r="161" customFormat="false" ht="14.25" hidden="false" customHeight="false" outlineLevel="0" collapsed="false">
      <c r="A161" s="22" t="s">
        <v>882</v>
      </c>
      <c r="B161" s="22" t="s">
        <v>147</v>
      </c>
      <c r="C161" s="22" t="s">
        <v>148</v>
      </c>
      <c r="D161" s="22" t="s">
        <v>883</v>
      </c>
      <c r="E161" s="22" t="s">
        <v>63</v>
      </c>
      <c r="F161" s="22" t="s">
        <v>47</v>
      </c>
      <c r="G161" s="22" t="s">
        <v>206</v>
      </c>
      <c r="H161" s="22" t="s">
        <v>212</v>
      </c>
      <c r="I161" s="23" t="n">
        <v>45511</v>
      </c>
      <c r="J161" s="23" t="n">
        <v>45531</v>
      </c>
      <c r="K161" s="23"/>
      <c r="L161" s="0" t="n">
        <v>2500</v>
      </c>
      <c r="M161" s="0" t="n">
        <v>1707</v>
      </c>
      <c r="N161" s="0" t="n">
        <v>20</v>
      </c>
      <c r="O161" s="0" t="n">
        <v>0</v>
      </c>
      <c r="P161" s="22" t="s">
        <v>118</v>
      </c>
      <c r="Q161" s="22" t="s">
        <v>123</v>
      </c>
      <c r="R161" s="23" t="n">
        <v>45388</v>
      </c>
      <c r="S161" s="0" t="n">
        <v>75000</v>
      </c>
      <c r="T161" s="22" t="s">
        <v>46</v>
      </c>
      <c r="U161" s="22" t="s">
        <v>48</v>
      </c>
      <c r="V161" s="0" t="n">
        <v>280</v>
      </c>
      <c r="W161" s="0" t="n">
        <f aca="false">tbl_Tasks_Clean[[#This Row],[Actual_Cost]]-tbl_Tasks_Clean[[#This Row],[Planned_Cost]]</f>
        <v>-793</v>
      </c>
      <c r="X161" s="22" t="n">
        <f aca="false">IFERROR(tbl_Tasks_Clean[[#This Row],[Actual_Cost]]/tbl_Tasks_Clean[[#This Row],[Planned_Cost]],0)</f>
        <v>0.6828</v>
      </c>
      <c r="Y161" s="22" t="str">
        <f aca="false">IF(AND(tbl_Tasks_Clean[[#This Row],[Status]]="Completed",tbl_Tasks_Clean[[#This Row],[Delay_Days]]&lt;=0),"On Time","Late")</f>
        <v>Late</v>
      </c>
      <c r="Z161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61" s="22" t="str">
        <f aca="false">INDEX(tbl_Projects[Project_Manager],MATCH(tbl_Tasks_Clean[[#This Row],[Project_ID]],tbl_Projects[Project_ID],0))</f>
        <v>Nourhan Tarek</v>
      </c>
      <c r="AB161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62" customFormat="false" ht="14.25" hidden="false" customHeight="false" outlineLevel="0" collapsed="false">
      <c r="A162" s="22" t="s">
        <v>885</v>
      </c>
      <c r="B162" s="22" t="s">
        <v>136</v>
      </c>
      <c r="C162" s="22" t="s">
        <v>137</v>
      </c>
      <c r="D162" s="22" t="s">
        <v>886</v>
      </c>
      <c r="E162" s="22" t="s">
        <v>34</v>
      </c>
      <c r="F162" s="22" t="s">
        <v>66</v>
      </c>
      <c r="G162" s="22" t="s">
        <v>175</v>
      </c>
      <c r="H162" s="22" t="s">
        <v>239</v>
      </c>
      <c r="I162" s="23" t="n">
        <v>45440</v>
      </c>
      <c r="J162" s="23" t="n">
        <v>45468</v>
      </c>
      <c r="K162" s="23" t="n">
        <v>45465</v>
      </c>
      <c r="L162" s="0" t="n">
        <v>2000</v>
      </c>
      <c r="M162" s="0" t="n">
        <v>2260</v>
      </c>
      <c r="N162" s="0" t="n">
        <v>28</v>
      </c>
      <c r="O162" s="0" t="n">
        <v>-3</v>
      </c>
      <c r="P162" s="22" t="s">
        <v>138</v>
      </c>
      <c r="Q162" s="22" t="s">
        <v>101</v>
      </c>
      <c r="R162" s="23" t="n">
        <v>45315</v>
      </c>
      <c r="S162" s="0" t="n">
        <v>250000</v>
      </c>
      <c r="T162" s="22" t="s">
        <v>65</v>
      </c>
      <c r="U162" s="22" t="s">
        <v>67</v>
      </c>
      <c r="V162" s="0" t="n">
        <v>250</v>
      </c>
      <c r="W162" s="0" t="n">
        <f aca="false">tbl_Tasks_Clean[[#This Row],[Actual_Cost]]-tbl_Tasks_Clean[[#This Row],[Planned_Cost]]</f>
        <v>260</v>
      </c>
      <c r="X162" s="22" t="n">
        <f aca="false">IFERROR(tbl_Tasks_Clean[[#This Row],[Actual_Cost]]/tbl_Tasks_Clean[[#This Row],[Planned_Cost]],0)</f>
        <v>1.13</v>
      </c>
      <c r="Y162" s="22" t="str">
        <f aca="false">IF(AND(tbl_Tasks_Clean[[#This Row],[Status]]="Completed",tbl_Tasks_Clean[[#This Row],[Delay_Days]]&lt;=0),"On Time","Late")</f>
        <v>On Time</v>
      </c>
      <c r="Z162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62" s="22" t="str">
        <f aca="false">INDEX(tbl_Projects[Project_Manager],MATCH(tbl_Tasks_Clean[[#This Row],[Project_ID]],tbl_Projects[Project_ID],0))</f>
        <v>Ahmed Nabil</v>
      </c>
      <c r="AB162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63" customFormat="false" ht="14.25" hidden="false" customHeight="false" outlineLevel="0" collapsed="false">
      <c r="A163" s="22" t="s">
        <v>888</v>
      </c>
      <c r="B163" s="22" t="s">
        <v>120</v>
      </c>
      <c r="C163" s="22" t="s">
        <v>121</v>
      </c>
      <c r="D163" s="22" t="s">
        <v>635</v>
      </c>
      <c r="E163" s="22" t="s">
        <v>54</v>
      </c>
      <c r="F163" s="22" t="s">
        <v>12</v>
      </c>
      <c r="G163" s="22" t="s">
        <v>175</v>
      </c>
      <c r="H163" s="22" t="s">
        <v>239</v>
      </c>
      <c r="I163" s="23" t="n">
        <v>45440</v>
      </c>
      <c r="J163" s="23" t="n">
        <v>45465</v>
      </c>
      <c r="K163" s="23" t="n">
        <v>45466</v>
      </c>
      <c r="L163" s="0" t="n">
        <v>10000</v>
      </c>
      <c r="M163" s="0" t="n">
        <v>11467</v>
      </c>
      <c r="N163" s="0" t="n">
        <v>25</v>
      </c>
      <c r="O163" s="0" t="n">
        <v>1</v>
      </c>
      <c r="P163" s="22" t="s">
        <v>122</v>
      </c>
      <c r="Q163" s="22" t="s">
        <v>123</v>
      </c>
      <c r="R163" s="23" t="n">
        <v>45348</v>
      </c>
      <c r="S163" s="0" t="n">
        <v>300000</v>
      </c>
      <c r="T163" s="22" t="s">
        <v>11</v>
      </c>
      <c r="U163" s="22" t="s">
        <v>13</v>
      </c>
      <c r="V163" s="0" t="n">
        <v>280</v>
      </c>
      <c r="W163" s="0" t="n">
        <f aca="false">tbl_Tasks_Clean[[#This Row],[Actual_Cost]]-tbl_Tasks_Clean[[#This Row],[Planned_Cost]]</f>
        <v>1467</v>
      </c>
      <c r="X163" s="22" t="n">
        <f aca="false">IFERROR(tbl_Tasks_Clean[[#This Row],[Actual_Cost]]/tbl_Tasks_Clean[[#This Row],[Planned_Cost]],0)</f>
        <v>1.1467</v>
      </c>
      <c r="Y163" s="22" t="str">
        <f aca="false">IF(AND(tbl_Tasks_Clean[[#This Row],[Status]]="Completed",tbl_Tasks_Clean[[#This Row],[Delay_Days]]&lt;=0),"On Time","Late")</f>
        <v>Late</v>
      </c>
      <c r="Z163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63" s="22" t="str">
        <f aca="false">INDEX(tbl_Projects[Project_Manager],MATCH(tbl_Tasks_Clean[[#This Row],[Project_ID]],tbl_Projects[Project_ID],0))</f>
        <v>Nourhan Tarek</v>
      </c>
      <c r="AB163" s="22" t="str">
        <f aca="false">IF(tbl_Tasks_Clean[[#This Row],[Delay_Days]]&gt;0,"Delayed by "&amp;TEXT(DATEDIF(tbl_Tasks_Clean[[#This Row],[Planned_End_Date]],tbl_Tasks_Clean[[#This Row],[Actual_End_Date]],"d"),"0")&amp;" days","No delay")</f>
        <v>Delayed by 1 days</v>
      </c>
    </row>
    <row r="164" customFormat="false" ht="14.25" hidden="false" customHeight="false" outlineLevel="0" collapsed="false">
      <c r="A164" s="22" t="s">
        <v>890</v>
      </c>
      <c r="B164" s="22" t="s">
        <v>120</v>
      </c>
      <c r="C164" s="22" t="s">
        <v>121</v>
      </c>
      <c r="D164" s="22" t="s">
        <v>891</v>
      </c>
      <c r="E164" s="22" t="s">
        <v>76</v>
      </c>
      <c r="F164" s="22" t="s">
        <v>10</v>
      </c>
      <c r="G164" s="22" t="s">
        <v>275</v>
      </c>
      <c r="H164" s="22" t="s">
        <v>212</v>
      </c>
      <c r="I164" s="23" t="n">
        <v>45350</v>
      </c>
      <c r="J164" s="23" t="n">
        <v>45359</v>
      </c>
      <c r="K164" s="23"/>
      <c r="L164" s="0" t="n">
        <v>8000</v>
      </c>
      <c r="M164" s="0" t="n">
        <v>3789</v>
      </c>
      <c r="N164" s="0" t="n">
        <v>9</v>
      </c>
      <c r="O164" s="0" t="n">
        <v>0</v>
      </c>
      <c r="P164" s="22" t="s">
        <v>122</v>
      </c>
      <c r="Q164" s="22" t="s">
        <v>123</v>
      </c>
      <c r="R164" s="23" t="n">
        <v>45348</v>
      </c>
      <c r="S164" s="0" t="n">
        <v>300000</v>
      </c>
      <c r="T164" s="22" t="s">
        <v>9</v>
      </c>
      <c r="U164" s="22" t="s">
        <v>8</v>
      </c>
      <c r="V164" s="0" t="n">
        <v>220</v>
      </c>
      <c r="W164" s="0" t="n">
        <f aca="false">tbl_Tasks_Clean[[#This Row],[Actual_Cost]]-tbl_Tasks_Clean[[#This Row],[Planned_Cost]]</f>
        <v>-4211</v>
      </c>
      <c r="X164" s="22" t="n">
        <f aca="false">IFERROR(tbl_Tasks_Clean[[#This Row],[Actual_Cost]]/tbl_Tasks_Clean[[#This Row],[Planned_Cost]],0)</f>
        <v>0.473625</v>
      </c>
      <c r="Y164" s="22" t="str">
        <f aca="false">IF(AND(tbl_Tasks_Clean[[#This Row],[Status]]="Completed",tbl_Tasks_Clean[[#This Row],[Delay_Days]]&lt;=0),"On Time","Late")</f>
        <v>Late</v>
      </c>
      <c r="Z164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64" s="22" t="str">
        <f aca="false">INDEX(tbl_Projects[Project_Manager],MATCH(tbl_Tasks_Clean[[#This Row],[Project_ID]],tbl_Projects[Project_ID],0))</f>
        <v>Nourhan Tarek</v>
      </c>
      <c r="AB164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65" customFormat="false" ht="14.25" hidden="false" customHeight="false" outlineLevel="0" collapsed="false">
      <c r="A165" s="22" t="s">
        <v>893</v>
      </c>
      <c r="B165" s="22" t="s">
        <v>98</v>
      </c>
      <c r="C165" s="22" t="s">
        <v>99</v>
      </c>
      <c r="D165" s="22" t="s">
        <v>894</v>
      </c>
      <c r="E165" s="22" t="s">
        <v>54</v>
      </c>
      <c r="F165" s="22" t="s">
        <v>15</v>
      </c>
      <c r="G165" s="22" t="s">
        <v>275</v>
      </c>
      <c r="H165" s="22" t="s">
        <v>194</v>
      </c>
      <c r="I165" s="23" t="n">
        <v>45404</v>
      </c>
      <c r="J165" s="23" t="n">
        <v>45421</v>
      </c>
      <c r="K165" s="23" t="n">
        <v>45432</v>
      </c>
      <c r="L165" s="0" t="n">
        <v>2500</v>
      </c>
      <c r="M165" s="0" t="n">
        <v>3247</v>
      </c>
      <c r="N165" s="0" t="n">
        <v>17</v>
      </c>
      <c r="O165" s="0" t="n">
        <v>11</v>
      </c>
      <c r="P165" s="22" t="s">
        <v>100</v>
      </c>
      <c r="Q165" s="22" t="s">
        <v>101</v>
      </c>
      <c r="R165" s="23" t="n">
        <v>45349</v>
      </c>
      <c r="S165" s="0" t="n">
        <v>100000</v>
      </c>
      <c r="T165" s="22" t="s">
        <v>14</v>
      </c>
      <c r="U165" s="22" t="s">
        <v>16</v>
      </c>
      <c r="V165" s="0" t="n">
        <v>180</v>
      </c>
      <c r="W165" s="0" t="n">
        <f aca="false">tbl_Tasks_Clean[[#This Row],[Actual_Cost]]-tbl_Tasks_Clean[[#This Row],[Planned_Cost]]</f>
        <v>747</v>
      </c>
      <c r="X165" s="22" t="n">
        <f aca="false">IFERROR(tbl_Tasks_Clean[[#This Row],[Actual_Cost]]/tbl_Tasks_Clean[[#This Row],[Planned_Cost]],0)</f>
        <v>1.2988</v>
      </c>
      <c r="Y165" s="22" t="str">
        <f aca="false">IF(AND(tbl_Tasks_Clean[[#This Row],[Status]]="Completed",tbl_Tasks_Clean[[#This Row],[Delay_Days]]&lt;=0),"On Time","Late")</f>
        <v>Late</v>
      </c>
      <c r="Z165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65" s="22" t="str">
        <f aca="false">INDEX(tbl_Projects[Project_Manager],MATCH(tbl_Tasks_Clean[[#This Row],[Project_ID]],tbl_Projects[Project_ID],0))</f>
        <v>Ahmed Nabil</v>
      </c>
      <c r="AB165" s="22" t="str">
        <f aca="false">IF(tbl_Tasks_Clean[[#This Row],[Delay_Days]]&gt;0,"Delayed by "&amp;TEXT(DATEDIF(tbl_Tasks_Clean[[#This Row],[Planned_End_Date]],tbl_Tasks_Clean[[#This Row],[Actual_End_Date]],"d"),"0")&amp;" days","No delay")</f>
        <v>Delayed by 11 days</v>
      </c>
    </row>
    <row r="166" customFormat="false" ht="14.25" hidden="false" customHeight="false" outlineLevel="0" collapsed="false">
      <c r="A166" s="22" t="s">
        <v>898</v>
      </c>
      <c r="B166" s="22" t="s">
        <v>133</v>
      </c>
      <c r="C166" s="22" t="s">
        <v>134</v>
      </c>
      <c r="D166" s="22" t="s">
        <v>899</v>
      </c>
      <c r="E166" s="22" t="s">
        <v>54</v>
      </c>
      <c r="F166" s="22" t="s">
        <v>29</v>
      </c>
      <c r="G166" s="22" t="s">
        <v>175</v>
      </c>
      <c r="H166" s="22" t="s">
        <v>201</v>
      </c>
      <c r="I166" s="23" t="n">
        <v>45359</v>
      </c>
      <c r="J166" s="23" t="n">
        <v>45385</v>
      </c>
      <c r="K166" s="23"/>
      <c r="L166" s="0" t="n">
        <v>6000</v>
      </c>
      <c r="M166" s="0" t="n">
        <v>0</v>
      </c>
      <c r="N166" s="0" t="n">
        <v>26</v>
      </c>
      <c r="O166" s="0" t="n">
        <v>0</v>
      </c>
      <c r="P166" s="22" t="s">
        <v>135</v>
      </c>
      <c r="Q166" s="22" t="s">
        <v>101</v>
      </c>
      <c r="R166" s="23" t="n">
        <v>45347</v>
      </c>
      <c r="S166" s="0" t="n">
        <v>200000</v>
      </c>
      <c r="T166" s="22" t="s">
        <v>28</v>
      </c>
      <c r="U166" s="22" t="s">
        <v>22</v>
      </c>
      <c r="V166" s="0" t="n">
        <v>200</v>
      </c>
      <c r="W166" s="0" t="n">
        <f aca="false">tbl_Tasks_Clean[[#This Row],[Actual_Cost]]-tbl_Tasks_Clean[[#This Row],[Planned_Cost]]</f>
        <v>-6000</v>
      </c>
      <c r="X166" s="22" t="n">
        <f aca="false">IFERROR(tbl_Tasks_Clean[[#This Row],[Actual_Cost]]/tbl_Tasks_Clean[[#This Row],[Planned_Cost]],0)</f>
        <v>0</v>
      </c>
      <c r="Y166" s="22" t="str">
        <f aca="false">IF(AND(tbl_Tasks_Clean[[#This Row],[Status]]="Completed",tbl_Tasks_Clean[[#This Row],[Delay_Days]]&lt;=0),"On Time","Late")</f>
        <v>Late</v>
      </c>
      <c r="Z166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66" s="22" t="str">
        <f aca="false">INDEX(tbl_Projects[Project_Manager],MATCH(tbl_Tasks_Clean[[#This Row],[Project_ID]],tbl_Projects[Project_ID],0))</f>
        <v>Ahmed Nabil</v>
      </c>
      <c r="AB166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67" customFormat="false" ht="14.25" hidden="false" customHeight="false" outlineLevel="0" collapsed="false">
      <c r="A167" s="22" t="s">
        <v>901</v>
      </c>
      <c r="B167" s="22" t="s">
        <v>133</v>
      </c>
      <c r="C167" s="22" t="s">
        <v>134</v>
      </c>
      <c r="D167" s="22" t="s">
        <v>231</v>
      </c>
      <c r="E167" s="22" t="s">
        <v>7</v>
      </c>
      <c r="F167" s="22" t="s">
        <v>6</v>
      </c>
      <c r="G167" s="22" t="s">
        <v>175</v>
      </c>
      <c r="H167" s="22" t="s">
        <v>212</v>
      </c>
      <c r="I167" s="23" t="n">
        <v>45417</v>
      </c>
      <c r="J167" s="23" t="n">
        <v>45436</v>
      </c>
      <c r="K167" s="23"/>
      <c r="L167" s="0" t="n">
        <v>6000</v>
      </c>
      <c r="M167" s="0" t="n">
        <v>4502</v>
      </c>
      <c r="N167" s="0" t="n">
        <v>19</v>
      </c>
      <c r="O167" s="0" t="n">
        <v>0</v>
      </c>
      <c r="P167" s="22" t="s">
        <v>135</v>
      </c>
      <c r="Q167" s="22" t="s">
        <v>101</v>
      </c>
      <c r="R167" s="23" t="n">
        <v>45347</v>
      </c>
      <c r="S167" s="0" t="n">
        <v>200000</v>
      </c>
      <c r="T167" s="22" t="s">
        <v>5</v>
      </c>
      <c r="U167" s="22" t="s">
        <v>8</v>
      </c>
      <c r="V167" s="0" t="n">
        <v>150</v>
      </c>
      <c r="W167" s="0" t="n">
        <f aca="false">tbl_Tasks_Clean[[#This Row],[Actual_Cost]]-tbl_Tasks_Clean[[#This Row],[Planned_Cost]]</f>
        <v>-1498</v>
      </c>
      <c r="X167" s="22" t="n">
        <f aca="false">IFERROR(tbl_Tasks_Clean[[#This Row],[Actual_Cost]]/tbl_Tasks_Clean[[#This Row],[Planned_Cost]],0)</f>
        <v>0.750333333333333</v>
      </c>
      <c r="Y167" s="22" t="str">
        <f aca="false">IF(AND(tbl_Tasks_Clean[[#This Row],[Status]]="Completed",tbl_Tasks_Clean[[#This Row],[Delay_Days]]&lt;=0),"On Time","Late")</f>
        <v>Late</v>
      </c>
      <c r="Z167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67" s="22" t="str">
        <f aca="false">INDEX(tbl_Projects[Project_Manager],MATCH(tbl_Tasks_Clean[[#This Row],[Project_ID]],tbl_Projects[Project_ID],0))</f>
        <v>Ahmed Nabil</v>
      </c>
      <c r="AB167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68" customFormat="false" ht="14.25" hidden="false" customHeight="false" outlineLevel="0" collapsed="false">
      <c r="A168" s="22" t="s">
        <v>904</v>
      </c>
      <c r="B168" s="22" t="s">
        <v>133</v>
      </c>
      <c r="C168" s="22" t="s">
        <v>134</v>
      </c>
      <c r="D168" s="22" t="s">
        <v>905</v>
      </c>
      <c r="E168" s="22" t="s">
        <v>63</v>
      </c>
      <c r="F168" s="22" t="s">
        <v>29</v>
      </c>
      <c r="G168" s="22" t="s">
        <v>175</v>
      </c>
      <c r="H168" s="22" t="s">
        <v>239</v>
      </c>
      <c r="I168" s="23" t="n">
        <v>45423</v>
      </c>
      <c r="J168" s="23" t="n">
        <v>45447</v>
      </c>
      <c r="K168" s="23" t="n">
        <v>45444</v>
      </c>
      <c r="L168" s="0" t="n">
        <v>6000</v>
      </c>
      <c r="M168" s="0" t="n">
        <v>4468</v>
      </c>
      <c r="N168" s="0" t="n">
        <v>24</v>
      </c>
      <c r="O168" s="0" t="n">
        <v>-3</v>
      </c>
      <c r="P168" s="22" t="s">
        <v>135</v>
      </c>
      <c r="Q168" s="22" t="s">
        <v>101</v>
      </c>
      <c r="R168" s="23" t="n">
        <v>45347</v>
      </c>
      <c r="S168" s="0" t="n">
        <v>200000</v>
      </c>
      <c r="T168" s="22" t="s">
        <v>28</v>
      </c>
      <c r="U168" s="22" t="s">
        <v>22</v>
      </c>
      <c r="V168" s="0" t="n">
        <v>200</v>
      </c>
      <c r="W168" s="0" t="n">
        <f aca="false">tbl_Tasks_Clean[[#This Row],[Actual_Cost]]-tbl_Tasks_Clean[[#This Row],[Planned_Cost]]</f>
        <v>-1532</v>
      </c>
      <c r="X168" s="22" t="n">
        <f aca="false">IFERROR(tbl_Tasks_Clean[[#This Row],[Actual_Cost]]/tbl_Tasks_Clean[[#This Row],[Planned_Cost]],0)</f>
        <v>0.744666666666667</v>
      </c>
      <c r="Y168" s="22" t="str">
        <f aca="false">IF(AND(tbl_Tasks_Clean[[#This Row],[Status]]="Completed",tbl_Tasks_Clean[[#This Row],[Delay_Days]]&lt;=0),"On Time","Late")</f>
        <v>On Time</v>
      </c>
      <c r="Z168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68" s="22" t="str">
        <f aca="false">INDEX(tbl_Projects[Project_Manager],MATCH(tbl_Tasks_Clean[[#This Row],[Project_ID]],tbl_Projects[Project_ID],0))</f>
        <v>Ahmed Nabil</v>
      </c>
      <c r="AB168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69" customFormat="false" ht="14.25" hidden="false" customHeight="false" outlineLevel="0" collapsed="false">
      <c r="A169" s="22" t="s">
        <v>909</v>
      </c>
      <c r="B169" s="22" t="s">
        <v>140</v>
      </c>
      <c r="C169" s="22" t="s">
        <v>141</v>
      </c>
      <c r="D169" s="22" t="s">
        <v>910</v>
      </c>
      <c r="E169" s="22" t="s">
        <v>63</v>
      </c>
      <c r="F169" s="22" t="s">
        <v>57</v>
      </c>
      <c r="G169" s="22" t="s">
        <v>175</v>
      </c>
      <c r="H169" s="22" t="s">
        <v>194</v>
      </c>
      <c r="I169" s="23" t="n">
        <v>45511</v>
      </c>
      <c r="J169" s="23" t="n">
        <v>45531</v>
      </c>
      <c r="K169" s="23" t="n">
        <v>45538</v>
      </c>
      <c r="L169" s="0" t="n">
        <v>1500</v>
      </c>
      <c r="M169" s="0" t="n">
        <v>1849</v>
      </c>
      <c r="N169" s="0" t="n">
        <v>20</v>
      </c>
      <c r="O169" s="0" t="n">
        <v>7</v>
      </c>
      <c r="P169" s="22" t="s">
        <v>118</v>
      </c>
      <c r="Q169" s="22" t="s">
        <v>123</v>
      </c>
      <c r="R169" s="23" t="n">
        <v>45383</v>
      </c>
      <c r="S169" s="0" t="n">
        <v>200000</v>
      </c>
      <c r="T169" s="22" t="s">
        <v>56</v>
      </c>
      <c r="U169" s="22" t="s">
        <v>58</v>
      </c>
      <c r="V169" s="0" t="n">
        <v>150</v>
      </c>
      <c r="W169" s="0" t="n">
        <f aca="false">tbl_Tasks_Clean[[#This Row],[Actual_Cost]]-tbl_Tasks_Clean[[#This Row],[Planned_Cost]]</f>
        <v>349</v>
      </c>
      <c r="X169" s="22" t="n">
        <f aca="false">IFERROR(tbl_Tasks_Clean[[#This Row],[Actual_Cost]]/tbl_Tasks_Clean[[#This Row],[Planned_Cost]],0)</f>
        <v>1.23266666666667</v>
      </c>
      <c r="Y169" s="22" t="str">
        <f aca="false">IF(AND(tbl_Tasks_Clean[[#This Row],[Status]]="Completed",tbl_Tasks_Clean[[#This Row],[Delay_Days]]&lt;=0),"On Time","Late")</f>
        <v>Late</v>
      </c>
      <c r="Z169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69" s="22" t="str">
        <f aca="false">INDEX(tbl_Projects[Project_Manager],MATCH(tbl_Tasks_Clean[[#This Row],[Project_ID]],tbl_Projects[Project_ID],0))</f>
        <v>Nourhan Tarek</v>
      </c>
      <c r="AB169" s="22" t="str">
        <f aca="false">IF(tbl_Tasks_Clean[[#This Row],[Delay_Days]]&gt;0,"Delayed by "&amp;TEXT(DATEDIF(tbl_Tasks_Clean[[#This Row],[Planned_End_Date]],tbl_Tasks_Clean[[#This Row],[Actual_End_Date]],"d"),"0")&amp;" days","No delay")</f>
        <v>Delayed by 7 days</v>
      </c>
    </row>
    <row r="170" customFormat="false" ht="14.25" hidden="false" customHeight="false" outlineLevel="0" collapsed="false">
      <c r="A170" s="22" t="s">
        <v>914</v>
      </c>
      <c r="B170" s="22" t="s">
        <v>143</v>
      </c>
      <c r="C170" s="22" t="s">
        <v>144</v>
      </c>
      <c r="D170" s="22" t="s">
        <v>915</v>
      </c>
      <c r="E170" s="22" t="s">
        <v>34</v>
      </c>
      <c r="F170" s="22" t="s">
        <v>60</v>
      </c>
      <c r="G170" s="22" t="s">
        <v>175</v>
      </c>
      <c r="H170" s="22" t="s">
        <v>239</v>
      </c>
      <c r="I170" s="23" t="n">
        <v>45365</v>
      </c>
      <c r="J170" s="23" t="n">
        <v>45392</v>
      </c>
      <c r="K170" s="23" t="n">
        <v>45391</v>
      </c>
      <c r="L170" s="0" t="n">
        <v>6000</v>
      </c>
      <c r="M170" s="0" t="n">
        <v>7063</v>
      </c>
      <c r="N170" s="0" t="n">
        <v>27</v>
      </c>
      <c r="O170" s="0" t="n">
        <v>-1</v>
      </c>
      <c r="P170" s="22" t="s">
        <v>145</v>
      </c>
      <c r="Q170" s="22" t="s">
        <v>101</v>
      </c>
      <c r="R170" s="23" t="n">
        <v>45303</v>
      </c>
      <c r="S170" s="0" t="n">
        <v>300000</v>
      </c>
      <c r="T170" s="22" t="s">
        <v>59</v>
      </c>
      <c r="U170" s="22" t="s">
        <v>58</v>
      </c>
      <c r="V170" s="0" t="n">
        <v>300</v>
      </c>
      <c r="W170" s="0" t="n">
        <f aca="false">tbl_Tasks_Clean[[#This Row],[Actual_Cost]]-tbl_Tasks_Clean[[#This Row],[Planned_Cost]]</f>
        <v>1063</v>
      </c>
      <c r="X170" s="22" t="n">
        <f aca="false">IFERROR(tbl_Tasks_Clean[[#This Row],[Actual_Cost]]/tbl_Tasks_Clean[[#This Row],[Planned_Cost]],0)</f>
        <v>1.17716666666667</v>
      </c>
      <c r="Y170" s="22" t="str">
        <f aca="false">IF(AND(tbl_Tasks_Clean[[#This Row],[Status]]="Completed",tbl_Tasks_Clean[[#This Row],[Delay_Days]]&lt;=0),"On Time","Late")</f>
        <v>On Time</v>
      </c>
      <c r="Z170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70" s="22" t="str">
        <f aca="false">INDEX(tbl_Projects[Project_Manager],MATCH(tbl_Tasks_Clean[[#This Row],[Project_ID]],tbl_Projects[Project_ID],0))</f>
        <v>Ahmed Nabil</v>
      </c>
      <c r="AB170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71" customFormat="false" ht="14.25" hidden="false" customHeight="false" outlineLevel="0" collapsed="false">
      <c r="A171" s="22" t="s">
        <v>917</v>
      </c>
      <c r="B171" s="22" t="s">
        <v>98</v>
      </c>
      <c r="C171" s="22" t="s">
        <v>99</v>
      </c>
      <c r="D171" s="22" t="s">
        <v>288</v>
      </c>
      <c r="E171" s="22" t="s">
        <v>21</v>
      </c>
      <c r="F171" s="22" t="s">
        <v>33</v>
      </c>
      <c r="G171" s="22" t="s">
        <v>175</v>
      </c>
      <c r="H171" s="22" t="s">
        <v>239</v>
      </c>
      <c r="I171" s="23" t="n">
        <v>45391</v>
      </c>
      <c r="J171" s="23" t="n">
        <v>45402</v>
      </c>
      <c r="K171" s="23" t="n">
        <v>45402</v>
      </c>
      <c r="L171" s="0" t="n">
        <v>3000</v>
      </c>
      <c r="M171" s="0" t="n">
        <v>3668</v>
      </c>
      <c r="N171" s="0" t="n">
        <v>11</v>
      </c>
      <c r="O171" s="0" t="n">
        <v>0</v>
      </c>
      <c r="P171" s="22" t="s">
        <v>100</v>
      </c>
      <c r="Q171" s="22" t="s">
        <v>101</v>
      </c>
      <c r="R171" s="23" t="n">
        <v>45349</v>
      </c>
      <c r="S171" s="0" t="n">
        <v>100000</v>
      </c>
      <c r="T171" s="22" t="s">
        <v>32</v>
      </c>
      <c r="U171" s="22" t="s">
        <v>35</v>
      </c>
      <c r="V171" s="0" t="n">
        <v>250</v>
      </c>
      <c r="W171" s="0" t="n">
        <f aca="false">tbl_Tasks_Clean[[#This Row],[Actual_Cost]]-tbl_Tasks_Clean[[#This Row],[Planned_Cost]]</f>
        <v>668</v>
      </c>
      <c r="X171" s="22" t="n">
        <f aca="false">IFERROR(tbl_Tasks_Clean[[#This Row],[Actual_Cost]]/tbl_Tasks_Clean[[#This Row],[Planned_Cost]],0)</f>
        <v>1.22266666666667</v>
      </c>
      <c r="Y171" s="22" t="str">
        <f aca="false">IF(AND(tbl_Tasks_Clean[[#This Row],[Status]]="Completed",tbl_Tasks_Clean[[#This Row],[Delay_Days]]&lt;=0),"On Time","Late")</f>
        <v>On Time</v>
      </c>
      <c r="Z171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71" s="22" t="str">
        <f aca="false">INDEX(tbl_Projects[Project_Manager],MATCH(tbl_Tasks_Clean[[#This Row],[Project_ID]],tbl_Projects[Project_ID],0))</f>
        <v>Ahmed Nabil</v>
      </c>
      <c r="AB171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72" customFormat="false" ht="14.25" hidden="false" customHeight="false" outlineLevel="0" collapsed="false">
      <c r="A172" s="22" t="s">
        <v>922</v>
      </c>
      <c r="B172" s="22" t="s">
        <v>116</v>
      </c>
      <c r="C172" s="22" t="s">
        <v>117</v>
      </c>
      <c r="D172" s="22" t="s">
        <v>845</v>
      </c>
      <c r="E172" s="22" t="s">
        <v>7</v>
      </c>
      <c r="F172" s="22" t="s">
        <v>60</v>
      </c>
      <c r="G172" s="22" t="s">
        <v>275</v>
      </c>
      <c r="H172" s="22" t="s">
        <v>239</v>
      </c>
      <c r="I172" s="23" t="n">
        <v>45449</v>
      </c>
      <c r="J172" s="23" t="n">
        <v>45466</v>
      </c>
      <c r="K172" s="23" t="n">
        <v>45464</v>
      </c>
      <c r="L172" s="0" t="n">
        <v>8000</v>
      </c>
      <c r="M172" s="0" t="n">
        <v>7926</v>
      </c>
      <c r="N172" s="0" t="n">
        <v>17</v>
      </c>
      <c r="O172" s="0" t="n">
        <v>-2</v>
      </c>
      <c r="P172" s="22" t="s">
        <v>118</v>
      </c>
      <c r="Q172" s="22" t="s">
        <v>106</v>
      </c>
      <c r="R172" s="23" t="n">
        <v>45435</v>
      </c>
      <c r="S172" s="0" t="n">
        <v>120000</v>
      </c>
      <c r="T172" s="22" t="s">
        <v>59</v>
      </c>
      <c r="U172" s="22" t="s">
        <v>58</v>
      </c>
      <c r="V172" s="0" t="n">
        <v>300</v>
      </c>
      <c r="W172" s="0" t="n">
        <f aca="false">tbl_Tasks_Clean[[#This Row],[Actual_Cost]]-tbl_Tasks_Clean[[#This Row],[Planned_Cost]]</f>
        <v>-74</v>
      </c>
      <c r="X172" s="22" t="n">
        <f aca="false">IFERROR(tbl_Tasks_Clean[[#This Row],[Actual_Cost]]/tbl_Tasks_Clean[[#This Row],[Planned_Cost]],0)</f>
        <v>0.99075</v>
      </c>
      <c r="Y172" s="22" t="str">
        <f aca="false">IF(AND(tbl_Tasks_Clean[[#This Row],[Status]]="Completed",tbl_Tasks_Clean[[#This Row],[Delay_Days]]&lt;=0),"On Time","Late")</f>
        <v>On Time</v>
      </c>
      <c r="Z172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72" s="22" t="str">
        <f aca="false">INDEX(tbl_Projects[Project_Manager],MATCH(tbl_Tasks_Clean[[#This Row],[Project_ID]],tbl_Projects[Project_ID],0))</f>
        <v>Laila Samir</v>
      </c>
      <c r="AB172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73" customFormat="false" ht="14.25" hidden="false" customHeight="false" outlineLevel="0" collapsed="false">
      <c r="A173" s="22" t="s">
        <v>924</v>
      </c>
      <c r="B173" s="22" t="s">
        <v>98</v>
      </c>
      <c r="C173" s="22" t="s">
        <v>99</v>
      </c>
      <c r="D173" s="22" t="s">
        <v>879</v>
      </c>
      <c r="E173" s="22" t="s">
        <v>54</v>
      </c>
      <c r="F173" s="22" t="s">
        <v>69</v>
      </c>
      <c r="G173" s="22" t="s">
        <v>206</v>
      </c>
      <c r="H173" s="22" t="s">
        <v>212</v>
      </c>
      <c r="I173" s="23" t="n">
        <v>45351</v>
      </c>
      <c r="J173" s="23" t="n">
        <v>45379</v>
      </c>
      <c r="K173" s="23"/>
      <c r="L173" s="0" t="n">
        <v>6000</v>
      </c>
      <c r="M173" s="0" t="n">
        <v>4444</v>
      </c>
      <c r="N173" s="0" t="n">
        <v>28</v>
      </c>
      <c r="O173" s="0" t="n">
        <v>0</v>
      </c>
      <c r="P173" s="22" t="s">
        <v>100</v>
      </c>
      <c r="Q173" s="22" t="s">
        <v>101</v>
      </c>
      <c r="R173" s="23" t="n">
        <v>45349</v>
      </c>
      <c r="S173" s="0" t="n">
        <v>100000</v>
      </c>
      <c r="T173" s="22" t="s">
        <v>68</v>
      </c>
      <c r="U173" s="22" t="s">
        <v>67</v>
      </c>
      <c r="V173" s="0" t="n">
        <v>180</v>
      </c>
      <c r="W173" s="0" t="n">
        <f aca="false">tbl_Tasks_Clean[[#This Row],[Actual_Cost]]-tbl_Tasks_Clean[[#This Row],[Planned_Cost]]</f>
        <v>-1556</v>
      </c>
      <c r="X173" s="22" t="n">
        <f aca="false">IFERROR(tbl_Tasks_Clean[[#This Row],[Actual_Cost]]/tbl_Tasks_Clean[[#This Row],[Planned_Cost]],0)</f>
        <v>0.740666666666667</v>
      </c>
      <c r="Y173" s="22" t="str">
        <f aca="false">IF(AND(tbl_Tasks_Clean[[#This Row],[Status]]="Completed",tbl_Tasks_Clean[[#This Row],[Delay_Days]]&lt;=0),"On Time","Late")</f>
        <v>Late</v>
      </c>
      <c r="Z173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73" s="22" t="str">
        <f aca="false">INDEX(tbl_Projects[Project_Manager],MATCH(tbl_Tasks_Clean[[#This Row],[Project_ID]],tbl_Projects[Project_ID],0))</f>
        <v>Ahmed Nabil</v>
      </c>
      <c r="AB173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74" customFormat="false" ht="14.25" hidden="false" customHeight="false" outlineLevel="0" collapsed="false">
      <c r="A174" s="22" t="s">
        <v>927</v>
      </c>
      <c r="B174" s="22" t="s">
        <v>93</v>
      </c>
      <c r="C174" s="22" t="s">
        <v>94</v>
      </c>
      <c r="D174" s="22" t="s">
        <v>652</v>
      </c>
      <c r="E174" s="22" t="s">
        <v>21</v>
      </c>
      <c r="F174" s="22" t="s">
        <v>79</v>
      </c>
      <c r="G174" s="22" t="s">
        <v>175</v>
      </c>
      <c r="H174" s="22" t="s">
        <v>239</v>
      </c>
      <c r="I174" s="23" t="n">
        <v>45600</v>
      </c>
      <c r="J174" s="23" t="n">
        <v>45617</v>
      </c>
      <c r="K174" s="23" t="n">
        <v>45617</v>
      </c>
      <c r="L174" s="0" t="n">
        <v>2500</v>
      </c>
      <c r="M174" s="0" t="n">
        <v>2645</v>
      </c>
      <c r="N174" s="0" t="n">
        <v>17</v>
      </c>
      <c r="O174" s="0" t="n">
        <v>0</v>
      </c>
      <c r="P174" s="22" t="s">
        <v>95</v>
      </c>
      <c r="Q174" s="22" t="s">
        <v>96</v>
      </c>
      <c r="R174" s="23" t="n">
        <v>45481</v>
      </c>
      <c r="S174" s="0" t="n">
        <v>150000</v>
      </c>
      <c r="T174" s="22" t="s">
        <v>78</v>
      </c>
      <c r="U174" s="22" t="s">
        <v>77</v>
      </c>
      <c r="V174" s="0" t="n">
        <v>250</v>
      </c>
      <c r="W174" s="0" t="n">
        <f aca="false">tbl_Tasks_Clean[[#This Row],[Actual_Cost]]-tbl_Tasks_Clean[[#This Row],[Planned_Cost]]</f>
        <v>145</v>
      </c>
      <c r="X174" s="22" t="n">
        <f aca="false">IFERROR(tbl_Tasks_Clean[[#This Row],[Actual_Cost]]/tbl_Tasks_Clean[[#This Row],[Planned_Cost]],0)</f>
        <v>1.058</v>
      </c>
      <c r="Y174" s="22" t="str">
        <f aca="false">IF(AND(tbl_Tasks_Clean[[#This Row],[Status]]="Completed",tbl_Tasks_Clean[[#This Row],[Delay_Days]]&lt;=0),"On Time","Late")</f>
        <v>On Time</v>
      </c>
      <c r="Z174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74" s="22" t="str">
        <f aca="false">INDEX(tbl_Projects[Project_Manager],MATCH(tbl_Tasks_Clean[[#This Row],[Project_ID]],tbl_Projects[Project_ID],0))</f>
        <v>Youssef Adel</v>
      </c>
      <c r="AB174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75" customFormat="false" ht="14.25" hidden="false" customHeight="false" outlineLevel="0" collapsed="false">
      <c r="A175" s="22" t="s">
        <v>928</v>
      </c>
      <c r="B175" s="22" t="s">
        <v>103</v>
      </c>
      <c r="C175" s="22" t="s">
        <v>104</v>
      </c>
      <c r="D175" s="22" t="s">
        <v>503</v>
      </c>
      <c r="E175" s="22" t="s">
        <v>63</v>
      </c>
      <c r="F175" s="22" t="s">
        <v>33</v>
      </c>
      <c r="G175" s="22" t="s">
        <v>275</v>
      </c>
      <c r="H175" s="22" t="s">
        <v>239</v>
      </c>
      <c r="I175" s="23" t="n">
        <v>45475</v>
      </c>
      <c r="J175" s="23" t="n">
        <v>45491</v>
      </c>
      <c r="K175" s="23" t="n">
        <v>45488</v>
      </c>
      <c r="L175" s="0" t="n">
        <v>6000</v>
      </c>
      <c r="M175" s="0" t="n">
        <v>8069</v>
      </c>
      <c r="N175" s="0" t="n">
        <v>16</v>
      </c>
      <c r="O175" s="0" t="n">
        <v>-3</v>
      </c>
      <c r="P175" s="22" t="s">
        <v>105</v>
      </c>
      <c r="Q175" s="22" t="s">
        <v>106</v>
      </c>
      <c r="R175" s="23" t="n">
        <v>45465</v>
      </c>
      <c r="S175" s="0" t="n">
        <v>75000</v>
      </c>
      <c r="T175" s="22" t="s">
        <v>32</v>
      </c>
      <c r="U175" s="22" t="s">
        <v>35</v>
      </c>
      <c r="V175" s="0" t="n">
        <v>250</v>
      </c>
      <c r="W175" s="0" t="n">
        <f aca="false">tbl_Tasks_Clean[[#This Row],[Actual_Cost]]-tbl_Tasks_Clean[[#This Row],[Planned_Cost]]</f>
        <v>2069</v>
      </c>
      <c r="X175" s="22" t="n">
        <f aca="false">IFERROR(tbl_Tasks_Clean[[#This Row],[Actual_Cost]]/tbl_Tasks_Clean[[#This Row],[Planned_Cost]],0)</f>
        <v>1.34483333333333</v>
      </c>
      <c r="Y175" s="22" t="str">
        <f aca="false">IF(AND(tbl_Tasks_Clean[[#This Row],[Status]]="Completed",tbl_Tasks_Clean[[#This Row],[Delay_Days]]&lt;=0),"On Time","Late")</f>
        <v>On Time</v>
      </c>
      <c r="Z175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75" s="22" t="str">
        <f aca="false">INDEX(tbl_Projects[Project_Manager],MATCH(tbl_Tasks_Clean[[#This Row],[Project_ID]],tbl_Projects[Project_ID],0))</f>
        <v>Laila Samir</v>
      </c>
      <c r="AB175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76" customFormat="false" ht="14.25" hidden="false" customHeight="false" outlineLevel="0" collapsed="false">
      <c r="A176" s="22" t="s">
        <v>932</v>
      </c>
      <c r="B176" s="22" t="s">
        <v>133</v>
      </c>
      <c r="C176" s="22" t="s">
        <v>134</v>
      </c>
      <c r="D176" s="22" t="s">
        <v>280</v>
      </c>
      <c r="E176" s="22" t="s">
        <v>63</v>
      </c>
      <c r="F176" s="22" t="s">
        <v>62</v>
      </c>
      <c r="G176" s="22" t="s">
        <v>175</v>
      </c>
      <c r="H176" s="22" t="s">
        <v>212</v>
      </c>
      <c r="I176" s="23" t="n">
        <v>45493</v>
      </c>
      <c r="J176" s="23" t="n">
        <v>45508</v>
      </c>
      <c r="K176" s="23"/>
      <c r="L176" s="0" t="n">
        <v>10000</v>
      </c>
      <c r="M176" s="0" t="n">
        <v>2194</v>
      </c>
      <c r="N176" s="0" t="n">
        <v>15</v>
      </c>
      <c r="O176" s="0" t="n">
        <v>0</v>
      </c>
      <c r="P176" s="22" t="s">
        <v>135</v>
      </c>
      <c r="Q176" s="22" t="s">
        <v>101</v>
      </c>
      <c r="R176" s="23" t="n">
        <v>45347</v>
      </c>
      <c r="S176" s="0" t="n">
        <v>200000</v>
      </c>
      <c r="T176" s="22" t="s">
        <v>61</v>
      </c>
      <c r="U176" s="22" t="s">
        <v>64</v>
      </c>
      <c r="V176" s="0" t="n">
        <v>150</v>
      </c>
      <c r="W176" s="0" t="n">
        <f aca="false">tbl_Tasks_Clean[[#This Row],[Actual_Cost]]-tbl_Tasks_Clean[[#This Row],[Planned_Cost]]</f>
        <v>-7806</v>
      </c>
      <c r="X176" s="22" t="n">
        <f aca="false">IFERROR(tbl_Tasks_Clean[[#This Row],[Actual_Cost]]/tbl_Tasks_Clean[[#This Row],[Planned_Cost]],0)</f>
        <v>0.2194</v>
      </c>
      <c r="Y176" s="22" t="str">
        <f aca="false">IF(AND(tbl_Tasks_Clean[[#This Row],[Status]]="Completed",tbl_Tasks_Clean[[#This Row],[Delay_Days]]&lt;=0),"On Time","Late")</f>
        <v>Late</v>
      </c>
      <c r="Z176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76" s="22" t="str">
        <f aca="false">INDEX(tbl_Projects[Project_Manager],MATCH(tbl_Tasks_Clean[[#This Row],[Project_ID]],tbl_Projects[Project_ID],0))</f>
        <v>Ahmed Nabil</v>
      </c>
      <c r="AB176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77" customFormat="false" ht="14.25" hidden="false" customHeight="false" outlineLevel="0" collapsed="false">
      <c r="A177" s="22" t="s">
        <v>933</v>
      </c>
      <c r="B177" s="22" t="s">
        <v>140</v>
      </c>
      <c r="C177" s="22" t="s">
        <v>141</v>
      </c>
      <c r="D177" s="22" t="s">
        <v>934</v>
      </c>
      <c r="E177" s="22" t="s">
        <v>7</v>
      </c>
      <c r="F177" s="22" t="s">
        <v>62</v>
      </c>
      <c r="G177" s="22" t="s">
        <v>1372</v>
      </c>
      <c r="H177" s="22" t="s">
        <v>201</v>
      </c>
      <c r="I177" s="23" t="n">
        <v>45410</v>
      </c>
      <c r="J177" s="23" t="n">
        <v>45422</v>
      </c>
      <c r="K177" s="23"/>
      <c r="L177" s="0" t="n">
        <v>3000</v>
      </c>
      <c r="N177" s="0" t="n">
        <v>12</v>
      </c>
      <c r="O177" s="0" t="n">
        <v>0</v>
      </c>
      <c r="P177" s="22" t="s">
        <v>118</v>
      </c>
      <c r="Q177" s="22" t="s">
        <v>123</v>
      </c>
      <c r="R177" s="23" t="n">
        <v>45383</v>
      </c>
      <c r="S177" s="0" t="n">
        <v>200000</v>
      </c>
      <c r="T177" s="22" t="s">
        <v>61</v>
      </c>
      <c r="U177" s="22" t="s">
        <v>64</v>
      </c>
      <c r="V177" s="0" t="n">
        <v>150</v>
      </c>
      <c r="W177" s="0" t="n">
        <f aca="false">tbl_Tasks_Clean[[#This Row],[Actual_Cost]]-tbl_Tasks_Clean[[#This Row],[Planned_Cost]]</f>
        <v>-3000</v>
      </c>
      <c r="X177" s="22" t="n">
        <f aca="false">IFERROR(tbl_Tasks_Clean[[#This Row],[Actual_Cost]]/tbl_Tasks_Clean[[#This Row],[Planned_Cost]],0)</f>
        <v>0</v>
      </c>
      <c r="Y177" s="22" t="str">
        <f aca="false">IF(AND(tbl_Tasks_Clean[[#This Row],[Status]]="Completed",tbl_Tasks_Clean[[#This Row],[Delay_Days]]&lt;=0),"On Time","Late")</f>
        <v>Late</v>
      </c>
      <c r="Z177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77" s="22" t="str">
        <f aca="false">INDEX(tbl_Projects[Project_Manager],MATCH(tbl_Tasks_Clean[[#This Row],[Project_ID]],tbl_Projects[Project_ID],0))</f>
        <v>Nourhan Tarek</v>
      </c>
      <c r="AB177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78" customFormat="false" ht="14.25" hidden="false" customHeight="false" outlineLevel="0" collapsed="false">
      <c r="A178" s="22" t="s">
        <v>936</v>
      </c>
      <c r="B178" s="22" t="s">
        <v>143</v>
      </c>
      <c r="C178" s="22" t="s">
        <v>144</v>
      </c>
      <c r="D178" s="22" t="s">
        <v>937</v>
      </c>
      <c r="E178" s="22" t="s">
        <v>54</v>
      </c>
      <c r="F178" s="22" t="s">
        <v>12</v>
      </c>
      <c r="G178" s="22" t="s">
        <v>175</v>
      </c>
      <c r="H178" s="22" t="s">
        <v>239</v>
      </c>
      <c r="I178" s="23" t="n">
        <v>45369</v>
      </c>
      <c r="J178" s="23" t="n">
        <v>45377</v>
      </c>
      <c r="K178" s="23" t="n">
        <v>45377</v>
      </c>
      <c r="L178" s="0" t="n">
        <v>8000</v>
      </c>
      <c r="M178" s="0" t="n">
        <v>6196</v>
      </c>
      <c r="N178" s="0" t="n">
        <v>8</v>
      </c>
      <c r="O178" s="0" t="n">
        <v>0</v>
      </c>
      <c r="P178" s="22" t="s">
        <v>145</v>
      </c>
      <c r="Q178" s="22" t="s">
        <v>101</v>
      </c>
      <c r="R178" s="23" t="n">
        <v>45303</v>
      </c>
      <c r="S178" s="0" t="n">
        <v>300000</v>
      </c>
      <c r="T178" s="22" t="s">
        <v>11</v>
      </c>
      <c r="U178" s="22" t="s">
        <v>13</v>
      </c>
      <c r="V178" s="0" t="n">
        <v>280</v>
      </c>
      <c r="W178" s="0" t="n">
        <f aca="false">tbl_Tasks_Clean[[#This Row],[Actual_Cost]]-tbl_Tasks_Clean[[#This Row],[Planned_Cost]]</f>
        <v>-1804</v>
      </c>
      <c r="X178" s="22" t="n">
        <f aca="false">IFERROR(tbl_Tasks_Clean[[#This Row],[Actual_Cost]]/tbl_Tasks_Clean[[#This Row],[Planned_Cost]],0)</f>
        <v>0.7745</v>
      </c>
      <c r="Y178" s="22" t="str">
        <f aca="false">IF(AND(tbl_Tasks_Clean[[#This Row],[Status]]="Completed",tbl_Tasks_Clean[[#This Row],[Delay_Days]]&lt;=0),"On Time","Late")</f>
        <v>On Time</v>
      </c>
      <c r="Z178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78" s="22" t="str">
        <f aca="false">INDEX(tbl_Projects[Project_Manager],MATCH(tbl_Tasks_Clean[[#This Row],[Project_ID]],tbl_Projects[Project_ID],0))</f>
        <v>Ahmed Nabil</v>
      </c>
      <c r="AB178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79" customFormat="false" ht="14.25" hidden="false" customHeight="false" outlineLevel="0" collapsed="false">
      <c r="A179" s="22" t="s">
        <v>940</v>
      </c>
      <c r="B179" s="22" t="s">
        <v>116</v>
      </c>
      <c r="C179" s="22" t="s">
        <v>117</v>
      </c>
      <c r="D179" s="22" t="s">
        <v>941</v>
      </c>
      <c r="E179" s="22" t="s">
        <v>21</v>
      </c>
      <c r="F179" s="22" t="s">
        <v>37</v>
      </c>
      <c r="G179" s="22" t="s">
        <v>206</v>
      </c>
      <c r="H179" s="22" t="s">
        <v>239</v>
      </c>
      <c r="I179" s="23" t="n">
        <v>45543</v>
      </c>
      <c r="J179" s="23" t="n">
        <v>45563</v>
      </c>
      <c r="K179" s="23" t="n">
        <v>45563</v>
      </c>
      <c r="L179" s="0" t="n">
        <v>2500</v>
      </c>
      <c r="M179" s="0" t="n">
        <v>2183</v>
      </c>
      <c r="N179" s="0" t="n">
        <v>20</v>
      </c>
      <c r="O179" s="0" t="n">
        <v>0</v>
      </c>
      <c r="P179" s="22" t="s">
        <v>118</v>
      </c>
      <c r="Q179" s="22" t="s">
        <v>106</v>
      </c>
      <c r="R179" s="23" t="n">
        <v>45435</v>
      </c>
      <c r="S179" s="0" t="n">
        <v>120000</v>
      </c>
      <c r="T179" s="22" t="s">
        <v>36</v>
      </c>
      <c r="U179" s="22" t="s">
        <v>38</v>
      </c>
      <c r="V179" s="0" t="n">
        <v>280</v>
      </c>
      <c r="W179" s="0" t="n">
        <f aca="false">tbl_Tasks_Clean[[#This Row],[Actual_Cost]]-tbl_Tasks_Clean[[#This Row],[Planned_Cost]]</f>
        <v>-317</v>
      </c>
      <c r="X179" s="22" t="n">
        <f aca="false">IFERROR(tbl_Tasks_Clean[[#This Row],[Actual_Cost]]/tbl_Tasks_Clean[[#This Row],[Planned_Cost]],0)</f>
        <v>0.8732</v>
      </c>
      <c r="Y179" s="22" t="str">
        <f aca="false">IF(AND(tbl_Tasks_Clean[[#This Row],[Status]]="Completed",tbl_Tasks_Clean[[#This Row],[Delay_Days]]&lt;=0),"On Time","Late")</f>
        <v>On Time</v>
      </c>
      <c r="Z179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79" s="22" t="str">
        <f aca="false">INDEX(tbl_Projects[Project_Manager],MATCH(tbl_Tasks_Clean[[#This Row],[Project_ID]],tbl_Projects[Project_ID],0))</f>
        <v>Laila Samir</v>
      </c>
      <c r="AB179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80" customFormat="false" ht="14.25" hidden="false" customHeight="false" outlineLevel="0" collapsed="false">
      <c r="A180" s="22" t="s">
        <v>944</v>
      </c>
      <c r="B180" s="22" t="s">
        <v>143</v>
      </c>
      <c r="C180" s="22" t="s">
        <v>144</v>
      </c>
      <c r="D180" s="22" t="s">
        <v>193</v>
      </c>
      <c r="E180" s="22" t="s">
        <v>21</v>
      </c>
      <c r="F180" s="22" t="s">
        <v>31</v>
      </c>
      <c r="G180" s="22" t="s">
        <v>175</v>
      </c>
      <c r="H180" s="22" t="s">
        <v>201</v>
      </c>
      <c r="I180" s="23" t="n">
        <v>45405</v>
      </c>
      <c r="J180" s="23" t="n">
        <v>45427</v>
      </c>
      <c r="K180" s="23"/>
      <c r="L180" s="0" t="n">
        <v>8000</v>
      </c>
      <c r="M180" s="0" t="n">
        <v>0</v>
      </c>
      <c r="N180" s="0" t="n">
        <v>22</v>
      </c>
      <c r="O180" s="0" t="n">
        <v>0</v>
      </c>
      <c r="P180" s="22" t="s">
        <v>145</v>
      </c>
      <c r="Q180" s="22" t="s">
        <v>101</v>
      </c>
      <c r="R180" s="23" t="n">
        <v>45303</v>
      </c>
      <c r="S180" s="0" t="n">
        <v>300000</v>
      </c>
      <c r="T180" s="22" t="s">
        <v>30</v>
      </c>
      <c r="U180" s="22" t="s">
        <v>27</v>
      </c>
      <c r="V180" s="0" t="n">
        <v>220</v>
      </c>
      <c r="W180" s="0" t="n">
        <f aca="false">tbl_Tasks_Clean[[#This Row],[Actual_Cost]]-tbl_Tasks_Clean[[#This Row],[Planned_Cost]]</f>
        <v>-8000</v>
      </c>
      <c r="X180" s="22" t="n">
        <f aca="false">IFERROR(tbl_Tasks_Clean[[#This Row],[Actual_Cost]]/tbl_Tasks_Clean[[#This Row],[Planned_Cost]],0)</f>
        <v>0</v>
      </c>
      <c r="Y180" s="22" t="str">
        <f aca="false">IF(AND(tbl_Tasks_Clean[[#This Row],[Status]]="Completed",tbl_Tasks_Clean[[#This Row],[Delay_Days]]&lt;=0),"On Time","Late")</f>
        <v>Late</v>
      </c>
      <c r="Z180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80" s="22" t="str">
        <f aca="false">INDEX(tbl_Projects[Project_Manager],MATCH(tbl_Tasks_Clean[[#This Row],[Project_ID]],tbl_Projects[Project_ID],0))</f>
        <v>Ahmed Nabil</v>
      </c>
      <c r="AB180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81" customFormat="false" ht="14.25" hidden="false" customHeight="false" outlineLevel="0" collapsed="false">
      <c r="A181" s="22" t="s">
        <v>947</v>
      </c>
      <c r="B181" s="22" t="s">
        <v>120</v>
      </c>
      <c r="C181" s="22" t="s">
        <v>121</v>
      </c>
      <c r="D181" s="22" t="s">
        <v>948</v>
      </c>
      <c r="E181" s="22" t="s">
        <v>44</v>
      </c>
      <c r="F181" s="22" t="s">
        <v>20</v>
      </c>
      <c r="G181" s="22" t="s">
        <v>275</v>
      </c>
      <c r="H181" s="22" t="s">
        <v>212</v>
      </c>
      <c r="I181" s="23" t="n">
        <v>45430</v>
      </c>
      <c r="J181" s="23" t="n">
        <v>45452</v>
      </c>
      <c r="K181" s="23"/>
      <c r="L181" s="0" t="n">
        <v>2500</v>
      </c>
      <c r="M181" s="0" t="n">
        <v>1219</v>
      </c>
      <c r="N181" s="0" t="n">
        <v>22</v>
      </c>
      <c r="O181" s="0" t="n">
        <v>0</v>
      </c>
      <c r="P181" s="22" t="s">
        <v>122</v>
      </c>
      <c r="Q181" s="22" t="s">
        <v>123</v>
      </c>
      <c r="R181" s="23" t="n">
        <v>45348</v>
      </c>
      <c r="S181" s="0" t="n">
        <v>300000</v>
      </c>
      <c r="T181" s="22" t="s">
        <v>19</v>
      </c>
      <c r="U181" s="22" t="s">
        <v>22</v>
      </c>
      <c r="V181" s="0" t="n">
        <v>180</v>
      </c>
      <c r="W181" s="0" t="n">
        <f aca="false">tbl_Tasks_Clean[[#This Row],[Actual_Cost]]-tbl_Tasks_Clean[[#This Row],[Planned_Cost]]</f>
        <v>-1281</v>
      </c>
      <c r="X181" s="22" t="n">
        <f aca="false">IFERROR(tbl_Tasks_Clean[[#This Row],[Actual_Cost]]/tbl_Tasks_Clean[[#This Row],[Planned_Cost]],0)</f>
        <v>0.4876</v>
      </c>
      <c r="Y181" s="22" t="str">
        <f aca="false">IF(AND(tbl_Tasks_Clean[[#This Row],[Status]]="Completed",tbl_Tasks_Clean[[#This Row],[Delay_Days]]&lt;=0),"On Time","Late")</f>
        <v>Late</v>
      </c>
      <c r="Z181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81" s="22" t="str">
        <f aca="false">INDEX(tbl_Projects[Project_Manager],MATCH(tbl_Tasks_Clean[[#This Row],[Project_ID]],tbl_Projects[Project_ID],0))</f>
        <v>Nourhan Tarek</v>
      </c>
      <c r="AB181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82" customFormat="false" ht="14.25" hidden="false" customHeight="false" outlineLevel="0" collapsed="false">
      <c r="A182" s="22" t="s">
        <v>951</v>
      </c>
      <c r="B182" s="22" t="s">
        <v>88</v>
      </c>
      <c r="C182" s="22" t="s">
        <v>89</v>
      </c>
      <c r="D182" s="22" t="s">
        <v>952</v>
      </c>
      <c r="E182" s="22" t="s">
        <v>76</v>
      </c>
      <c r="F182" s="22" t="s">
        <v>71</v>
      </c>
      <c r="G182" s="22" t="s">
        <v>275</v>
      </c>
      <c r="H182" s="22" t="s">
        <v>194</v>
      </c>
      <c r="I182" s="23" t="n">
        <v>45560</v>
      </c>
      <c r="J182" s="23" t="n">
        <v>45588</v>
      </c>
      <c r="K182" s="23" t="n">
        <v>45592</v>
      </c>
      <c r="L182" s="0" t="n">
        <v>3000</v>
      </c>
      <c r="M182" s="0" t="n">
        <v>2434</v>
      </c>
      <c r="N182" s="0" t="n">
        <v>28</v>
      </c>
      <c r="O182" s="0" t="n">
        <v>4</v>
      </c>
      <c r="P182" s="22" t="s">
        <v>90</v>
      </c>
      <c r="Q182" s="22" t="s">
        <v>91</v>
      </c>
      <c r="R182" s="23" t="n">
        <v>45455</v>
      </c>
      <c r="S182" s="0" t="n">
        <v>75000</v>
      </c>
      <c r="T182" s="22" t="s">
        <v>70</v>
      </c>
      <c r="U182" s="22" t="s">
        <v>67</v>
      </c>
      <c r="V182" s="0" t="n">
        <v>180</v>
      </c>
      <c r="W182" s="0" t="n">
        <f aca="false">tbl_Tasks_Clean[[#This Row],[Actual_Cost]]-tbl_Tasks_Clean[[#This Row],[Planned_Cost]]</f>
        <v>-566</v>
      </c>
      <c r="X182" s="22" t="n">
        <f aca="false">IFERROR(tbl_Tasks_Clean[[#This Row],[Actual_Cost]]/tbl_Tasks_Clean[[#This Row],[Planned_Cost]],0)</f>
        <v>0.811333333333333</v>
      </c>
      <c r="Y182" s="22" t="str">
        <f aca="false">IF(AND(tbl_Tasks_Clean[[#This Row],[Status]]="Completed",tbl_Tasks_Clean[[#This Row],[Delay_Days]]&lt;=0),"On Time","Late")</f>
        <v>Late</v>
      </c>
      <c r="Z182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82" s="22" t="str">
        <f aca="false">INDEX(tbl_Projects[Project_Manager],MATCH(tbl_Tasks_Clean[[#This Row],[Project_ID]],tbl_Projects[Project_ID],0))</f>
        <v>Mona Farid</v>
      </c>
      <c r="AB182" s="22" t="str">
        <f aca="false">IF(tbl_Tasks_Clean[[#This Row],[Delay_Days]]&gt;0,"Delayed by "&amp;TEXT(DATEDIF(tbl_Tasks_Clean[[#This Row],[Planned_End_Date]],tbl_Tasks_Clean[[#This Row],[Actual_End_Date]],"d"),"0")&amp;" days","No delay")</f>
        <v>Delayed by 4 days</v>
      </c>
    </row>
    <row r="183" customFormat="false" ht="14.25" hidden="false" customHeight="false" outlineLevel="0" collapsed="false">
      <c r="A183" s="22" t="s">
        <v>956</v>
      </c>
      <c r="B183" s="22" t="s">
        <v>125</v>
      </c>
      <c r="C183" s="22" t="s">
        <v>126</v>
      </c>
      <c r="D183" s="22" t="s">
        <v>814</v>
      </c>
      <c r="E183" s="22" t="s">
        <v>63</v>
      </c>
      <c r="F183" s="22" t="s">
        <v>12</v>
      </c>
      <c r="G183" s="22" t="s">
        <v>175</v>
      </c>
      <c r="H183" s="22" t="s">
        <v>212</v>
      </c>
      <c r="I183" s="23" t="n">
        <v>45398</v>
      </c>
      <c r="J183" s="23" t="n">
        <v>45420</v>
      </c>
      <c r="K183" s="23"/>
      <c r="L183" s="0" t="n">
        <v>6000</v>
      </c>
      <c r="M183" s="0" t="n">
        <v>4296</v>
      </c>
      <c r="N183" s="0" t="n">
        <v>22</v>
      </c>
      <c r="O183" s="0" t="n">
        <v>0</v>
      </c>
      <c r="P183" s="22" t="s">
        <v>127</v>
      </c>
      <c r="Q183" s="22" t="s">
        <v>106</v>
      </c>
      <c r="R183" s="23" t="n">
        <v>45293</v>
      </c>
      <c r="S183" s="0" t="n">
        <v>100000</v>
      </c>
      <c r="T183" s="22" t="s">
        <v>11</v>
      </c>
      <c r="U183" s="22" t="s">
        <v>13</v>
      </c>
      <c r="V183" s="0" t="n">
        <v>280</v>
      </c>
      <c r="W183" s="0" t="n">
        <f aca="false">tbl_Tasks_Clean[[#This Row],[Actual_Cost]]-tbl_Tasks_Clean[[#This Row],[Planned_Cost]]</f>
        <v>-1704</v>
      </c>
      <c r="X183" s="22" t="n">
        <f aca="false">IFERROR(tbl_Tasks_Clean[[#This Row],[Actual_Cost]]/tbl_Tasks_Clean[[#This Row],[Planned_Cost]],0)</f>
        <v>0.716</v>
      </c>
      <c r="Y183" s="22" t="str">
        <f aca="false">IF(AND(tbl_Tasks_Clean[[#This Row],[Status]]="Completed",tbl_Tasks_Clean[[#This Row],[Delay_Days]]&lt;=0),"On Time","Late")</f>
        <v>Late</v>
      </c>
      <c r="Z183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83" s="22" t="str">
        <f aca="false">INDEX(tbl_Projects[Project_Manager],MATCH(tbl_Tasks_Clean[[#This Row],[Project_ID]],tbl_Projects[Project_ID],0))</f>
        <v>Laila Samir</v>
      </c>
      <c r="AB183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84" customFormat="false" ht="14.25" hidden="false" customHeight="false" outlineLevel="0" collapsed="false">
      <c r="A184" s="22" t="s">
        <v>959</v>
      </c>
      <c r="B184" s="22" t="s">
        <v>140</v>
      </c>
      <c r="C184" s="22" t="s">
        <v>141</v>
      </c>
      <c r="D184" s="22" t="s">
        <v>960</v>
      </c>
      <c r="E184" s="22" t="s">
        <v>44</v>
      </c>
      <c r="F184" s="22" t="s">
        <v>75</v>
      </c>
      <c r="G184" s="22" t="s">
        <v>175</v>
      </c>
      <c r="H184" s="22" t="s">
        <v>212</v>
      </c>
      <c r="I184" s="23" t="n">
        <v>45467</v>
      </c>
      <c r="J184" s="23" t="n">
        <v>45481</v>
      </c>
      <c r="K184" s="23"/>
      <c r="L184" s="0" t="n">
        <v>3000</v>
      </c>
      <c r="M184" s="0" t="n">
        <v>993</v>
      </c>
      <c r="N184" s="0" t="n">
        <v>14</v>
      </c>
      <c r="O184" s="0" t="n">
        <v>0</v>
      </c>
      <c r="P184" s="22" t="s">
        <v>118</v>
      </c>
      <c r="Q184" s="22" t="s">
        <v>123</v>
      </c>
      <c r="R184" s="23" t="n">
        <v>45383</v>
      </c>
      <c r="S184" s="0" t="n">
        <v>200000</v>
      </c>
      <c r="T184" s="22" t="s">
        <v>74</v>
      </c>
      <c r="U184" s="22" t="s">
        <v>77</v>
      </c>
      <c r="V184" s="0" t="n">
        <v>250</v>
      </c>
      <c r="W184" s="0" t="n">
        <f aca="false">tbl_Tasks_Clean[[#This Row],[Actual_Cost]]-tbl_Tasks_Clean[[#This Row],[Planned_Cost]]</f>
        <v>-2007</v>
      </c>
      <c r="X184" s="22" t="n">
        <f aca="false">IFERROR(tbl_Tasks_Clean[[#This Row],[Actual_Cost]]/tbl_Tasks_Clean[[#This Row],[Planned_Cost]],0)</f>
        <v>0.331</v>
      </c>
      <c r="Y184" s="22" t="str">
        <f aca="false">IF(AND(tbl_Tasks_Clean[[#This Row],[Status]]="Completed",tbl_Tasks_Clean[[#This Row],[Delay_Days]]&lt;=0),"On Time","Late")</f>
        <v>Late</v>
      </c>
      <c r="Z184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84" s="22" t="str">
        <f aca="false">INDEX(tbl_Projects[Project_Manager],MATCH(tbl_Tasks_Clean[[#This Row],[Project_ID]],tbl_Projects[Project_ID],0))</f>
        <v>Nourhan Tarek</v>
      </c>
      <c r="AB184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85" customFormat="false" ht="14.25" hidden="false" customHeight="false" outlineLevel="0" collapsed="false">
      <c r="A185" s="22" t="s">
        <v>963</v>
      </c>
      <c r="B185" s="22" t="s">
        <v>112</v>
      </c>
      <c r="C185" s="22" t="s">
        <v>113</v>
      </c>
      <c r="D185" s="22" t="s">
        <v>563</v>
      </c>
      <c r="E185" s="22" t="s">
        <v>21</v>
      </c>
      <c r="F185" s="22" t="s">
        <v>18</v>
      </c>
      <c r="G185" s="22" t="s">
        <v>1372</v>
      </c>
      <c r="H185" s="22" t="s">
        <v>239</v>
      </c>
      <c r="I185" s="23" t="n">
        <v>45435</v>
      </c>
      <c r="J185" s="23" t="n">
        <v>45442</v>
      </c>
      <c r="K185" s="23" t="n">
        <v>45443</v>
      </c>
      <c r="L185" s="0" t="n">
        <v>10000</v>
      </c>
      <c r="M185" s="0" t="n">
        <v>8274</v>
      </c>
      <c r="N185" s="0" t="n">
        <v>7</v>
      </c>
      <c r="O185" s="0" t="n">
        <v>1</v>
      </c>
      <c r="P185" s="22" t="s">
        <v>114</v>
      </c>
      <c r="Q185" s="22" t="s">
        <v>91</v>
      </c>
      <c r="R185" s="23" t="n">
        <v>45347</v>
      </c>
      <c r="S185" s="0" t="n">
        <v>120000</v>
      </c>
      <c r="T185" s="22" t="s">
        <v>17</v>
      </c>
      <c r="U185" s="22" t="s">
        <v>8</v>
      </c>
      <c r="V185" s="0" t="n">
        <v>220</v>
      </c>
      <c r="W185" s="0" t="n">
        <f aca="false">tbl_Tasks_Clean[[#This Row],[Actual_Cost]]-tbl_Tasks_Clean[[#This Row],[Planned_Cost]]</f>
        <v>-1726</v>
      </c>
      <c r="X185" s="22" t="n">
        <f aca="false">IFERROR(tbl_Tasks_Clean[[#This Row],[Actual_Cost]]/tbl_Tasks_Clean[[#This Row],[Planned_Cost]],0)</f>
        <v>0.8274</v>
      </c>
      <c r="Y185" s="22" t="str">
        <f aca="false">IF(AND(tbl_Tasks_Clean[[#This Row],[Status]]="Completed",tbl_Tasks_Clean[[#This Row],[Delay_Days]]&lt;=0),"On Time","Late")</f>
        <v>Late</v>
      </c>
      <c r="Z185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185" s="22" t="str">
        <f aca="false">INDEX(tbl_Projects[Project_Manager],MATCH(tbl_Tasks_Clean[[#This Row],[Project_ID]],tbl_Projects[Project_ID],0))</f>
        <v>Mona Farid</v>
      </c>
      <c r="AB185" s="22" t="str">
        <f aca="false">IF(tbl_Tasks_Clean[[#This Row],[Delay_Days]]&gt;0,"Delayed by "&amp;TEXT(DATEDIF(tbl_Tasks_Clean[[#This Row],[Planned_End_Date]],tbl_Tasks_Clean[[#This Row],[Actual_End_Date]],"d"),"0")&amp;" days","No delay")</f>
        <v>Delayed by 1 days</v>
      </c>
    </row>
    <row r="186" customFormat="false" ht="14.25" hidden="false" customHeight="false" outlineLevel="0" collapsed="false">
      <c r="A186" s="22" t="s">
        <v>966</v>
      </c>
      <c r="B186" s="22" t="s">
        <v>147</v>
      </c>
      <c r="C186" s="22" t="s">
        <v>148</v>
      </c>
      <c r="D186" s="22" t="s">
        <v>602</v>
      </c>
      <c r="E186" s="22" t="s">
        <v>44</v>
      </c>
      <c r="F186" s="22" t="s">
        <v>57</v>
      </c>
      <c r="G186" s="22" t="s">
        <v>206</v>
      </c>
      <c r="H186" s="22" t="s">
        <v>212</v>
      </c>
      <c r="I186" s="23" t="n">
        <v>45470</v>
      </c>
      <c r="J186" s="23" t="n">
        <v>45473</v>
      </c>
      <c r="K186" s="23"/>
      <c r="L186" s="0" t="n">
        <v>2000</v>
      </c>
      <c r="M186" s="0" t="n">
        <v>460</v>
      </c>
      <c r="N186" s="0" t="n">
        <v>3</v>
      </c>
      <c r="O186" s="0" t="n">
        <v>0</v>
      </c>
      <c r="P186" s="22" t="s">
        <v>118</v>
      </c>
      <c r="Q186" s="22" t="s">
        <v>123</v>
      </c>
      <c r="R186" s="23" t="n">
        <v>45388</v>
      </c>
      <c r="S186" s="0" t="n">
        <v>75000</v>
      </c>
      <c r="T186" s="22" t="s">
        <v>56</v>
      </c>
      <c r="U186" s="22" t="s">
        <v>58</v>
      </c>
      <c r="V186" s="0" t="n">
        <v>150</v>
      </c>
      <c r="W186" s="0" t="n">
        <f aca="false">tbl_Tasks_Clean[[#This Row],[Actual_Cost]]-tbl_Tasks_Clean[[#This Row],[Planned_Cost]]</f>
        <v>-1540</v>
      </c>
      <c r="X186" s="22" t="n">
        <f aca="false">IFERROR(tbl_Tasks_Clean[[#This Row],[Actual_Cost]]/tbl_Tasks_Clean[[#This Row],[Planned_Cost]],0)</f>
        <v>0.23</v>
      </c>
      <c r="Y186" s="22" t="str">
        <f aca="false">IF(AND(tbl_Tasks_Clean[[#This Row],[Status]]="Completed",tbl_Tasks_Clean[[#This Row],[Delay_Days]]&lt;=0),"On Time","Late")</f>
        <v>Late</v>
      </c>
      <c r="Z186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186" s="22" t="str">
        <f aca="false">INDEX(tbl_Projects[Project_Manager],MATCH(tbl_Tasks_Clean[[#This Row],[Project_ID]],tbl_Projects[Project_ID],0))</f>
        <v>Nourhan Tarek</v>
      </c>
      <c r="AB186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87" customFormat="false" ht="14.25" hidden="false" customHeight="false" outlineLevel="0" collapsed="false">
      <c r="A187" s="22" t="s">
        <v>969</v>
      </c>
      <c r="B187" s="22" t="s">
        <v>116</v>
      </c>
      <c r="C187" s="22" t="s">
        <v>117</v>
      </c>
      <c r="D187" s="22" t="s">
        <v>970</v>
      </c>
      <c r="E187" s="22" t="s">
        <v>34</v>
      </c>
      <c r="F187" s="22" t="s">
        <v>33</v>
      </c>
      <c r="G187" s="22" t="s">
        <v>206</v>
      </c>
      <c r="H187" s="22" t="s">
        <v>212</v>
      </c>
      <c r="I187" s="23" t="n">
        <v>45460</v>
      </c>
      <c r="J187" s="23" t="n">
        <v>45488</v>
      </c>
      <c r="K187" s="23"/>
      <c r="L187" s="0" t="n">
        <v>6000</v>
      </c>
      <c r="M187" s="0" t="n">
        <v>3942</v>
      </c>
      <c r="N187" s="0" t="n">
        <v>28</v>
      </c>
      <c r="O187" s="0" t="n">
        <v>0</v>
      </c>
      <c r="P187" s="22" t="s">
        <v>118</v>
      </c>
      <c r="Q187" s="22" t="s">
        <v>106</v>
      </c>
      <c r="R187" s="23" t="n">
        <v>45435</v>
      </c>
      <c r="S187" s="0" t="n">
        <v>120000</v>
      </c>
      <c r="T187" s="22" t="s">
        <v>32</v>
      </c>
      <c r="U187" s="22" t="s">
        <v>35</v>
      </c>
      <c r="V187" s="0" t="n">
        <v>250</v>
      </c>
      <c r="W187" s="0" t="n">
        <f aca="false">tbl_Tasks_Clean[[#This Row],[Actual_Cost]]-tbl_Tasks_Clean[[#This Row],[Planned_Cost]]</f>
        <v>-2058</v>
      </c>
      <c r="X187" s="22" t="n">
        <f aca="false">IFERROR(tbl_Tasks_Clean[[#This Row],[Actual_Cost]]/tbl_Tasks_Clean[[#This Row],[Planned_Cost]],0)</f>
        <v>0.657</v>
      </c>
      <c r="Y187" s="22" t="str">
        <f aca="false">IF(AND(tbl_Tasks_Clean[[#This Row],[Status]]="Completed",tbl_Tasks_Clean[[#This Row],[Delay_Days]]&lt;=0),"On Time","Late")</f>
        <v>Late</v>
      </c>
      <c r="Z187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87" s="22" t="str">
        <f aca="false">INDEX(tbl_Projects[Project_Manager],MATCH(tbl_Tasks_Clean[[#This Row],[Project_ID]],tbl_Projects[Project_ID],0))</f>
        <v>Laila Samir</v>
      </c>
      <c r="AB187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88" customFormat="false" ht="14.25" hidden="false" customHeight="false" outlineLevel="0" collapsed="false">
      <c r="A188" s="22" t="s">
        <v>230</v>
      </c>
      <c r="B188" s="22" t="s">
        <v>108</v>
      </c>
      <c r="C188" s="22" t="s">
        <v>109</v>
      </c>
      <c r="D188" s="22" t="s">
        <v>231</v>
      </c>
      <c r="E188" s="22" t="s">
        <v>44</v>
      </c>
      <c r="F188" s="22" t="s">
        <v>18</v>
      </c>
      <c r="G188" s="22" t="s">
        <v>206</v>
      </c>
      <c r="H188" s="22" t="s">
        <v>239</v>
      </c>
      <c r="I188" s="23" t="n">
        <v>45301</v>
      </c>
      <c r="J188" s="23" t="n">
        <v>45306</v>
      </c>
      <c r="K188" s="23" t="n">
        <v>45303</v>
      </c>
      <c r="L188" s="0" t="n">
        <v>3000</v>
      </c>
      <c r="M188" s="0" t="n">
        <v>2553</v>
      </c>
      <c r="N188" s="0" t="n">
        <v>5</v>
      </c>
      <c r="O188" s="0" t="n">
        <v>-3</v>
      </c>
      <c r="P188" s="22" t="s">
        <v>110</v>
      </c>
      <c r="Q188" s="22" t="s">
        <v>101</v>
      </c>
      <c r="R188" s="23" t="n">
        <v>45300</v>
      </c>
      <c r="S188" s="0" t="n">
        <v>50000</v>
      </c>
      <c r="T188" s="22" t="s">
        <v>17</v>
      </c>
      <c r="U188" s="22" t="s">
        <v>8</v>
      </c>
      <c r="V188" s="0" t="n">
        <v>220</v>
      </c>
      <c r="W188" s="0" t="n">
        <f aca="false">tbl_Tasks_Clean[[#This Row],[Actual_Cost]]-tbl_Tasks_Clean[[#This Row],[Planned_Cost]]</f>
        <v>-447</v>
      </c>
      <c r="X188" s="22" t="n">
        <f aca="false">IFERROR(tbl_Tasks_Clean[[#This Row],[Actual_Cost]]/tbl_Tasks_Clean[[#This Row],[Planned_Cost]],0)</f>
        <v>0.851</v>
      </c>
      <c r="Y188" s="22" t="str">
        <f aca="false">IF(AND(tbl_Tasks_Clean[[#This Row],[Status]]="Completed",tbl_Tasks_Clean[[#This Row],[Delay_Days]]&lt;=0),"On Time","Late")</f>
        <v>On Time</v>
      </c>
      <c r="Z188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188" s="22" t="str">
        <f aca="false">INDEX(tbl_Projects[Project_Manager],MATCH(tbl_Tasks_Clean[[#This Row],[Project_ID]],tbl_Projects[Project_ID],0))</f>
        <v>Ahmed Nabil</v>
      </c>
      <c r="AB188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89" customFormat="false" ht="14.25" hidden="false" customHeight="false" outlineLevel="0" collapsed="false">
      <c r="A189" s="22" t="s">
        <v>971</v>
      </c>
      <c r="B189" s="22" t="s">
        <v>88</v>
      </c>
      <c r="C189" s="22" t="s">
        <v>89</v>
      </c>
      <c r="D189" s="22" t="s">
        <v>972</v>
      </c>
      <c r="E189" s="22" t="s">
        <v>76</v>
      </c>
      <c r="F189" s="22" t="s">
        <v>12</v>
      </c>
      <c r="G189" s="22" t="s">
        <v>275</v>
      </c>
      <c r="H189" s="22" t="s">
        <v>212</v>
      </c>
      <c r="I189" s="23" t="n">
        <v>45504</v>
      </c>
      <c r="J189" s="23" t="n">
        <v>45519</v>
      </c>
      <c r="K189" s="23"/>
      <c r="L189" s="0" t="n">
        <v>4000</v>
      </c>
      <c r="M189" s="0" t="n">
        <v>1469</v>
      </c>
      <c r="N189" s="0" t="n">
        <v>15</v>
      </c>
      <c r="O189" s="0" t="n">
        <v>0</v>
      </c>
      <c r="P189" s="22" t="s">
        <v>90</v>
      </c>
      <c r="Q189" s="22" t="s">
        <v>91</v>
      </c>
      <c r="R189" s="23" t="n">
        <v>45455</v>
      </c>
      <c r="S189" s="0" t="n">
        <v>75000</v>
      </c>
      <c r="T189" s="22" t="s">
        <v>11</v>
      </c>
      <c r="U189" s="22" t="s">
        <v>13</v>
      </c>
      <c r="V189" s="0" t="n">
        <v>280</v>
      </c>
      <c r="W189" s="0" t="n">
        <f aca="false">tbl_Tasks_Clean[[#This Row],[Actual_Cost]]-tbl_Tasks_Clean[[#This Row],[Planned_Cost]]</f>
        <v>-2531</v>
      </c>
      <c r="X189" s="22" t="n">
        <f aca="false">IFERROR(tbl_Tasks_Clean[[#This Row],[Actual_Cost]]/tbl_Tasks_Clean[[#This Row],[Planned_Cost]],0)</f>
        <v>0.36725</v>
      </c>
      <c r="Y189" s="22" t="str">
        <f aca="false">IF(AND(tbl_Tasks_Clean[[#This Row],[Status]]="Completed",tbl_Tasks_Clean[[#This Row],[Delay_Days]]&lt;=0),"On Time","Late")</f>
        <v>Late</v>
      </c>
      <c r="Z189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89" s="22" t="str">
        <f aca="false">INDEX(tbl_Projects[Project_Manager],MATCH(tbl_Tasks_Clean[[#This Row],[Project_ID]],tbl_Projects[Project_ID],0))</f>
        <v>Mona Farid</v>
      </c>
      <c r="AB189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90" customFormat="false" ht="14.25" hidden="false" customHeight="false" outlineLevel="0" collapsed="false">
      <c r="A190" s="22" t="s">
        <v>975</v>
      </c>
      <c r="B190" s="22" t="s">
        <v>120</v>
      </c>
      <c r="C190" s="22" t="s">
        <v>121</v>
      </c>
      <c r="D190" s="22" t="s">
        <v>899</v>
      </c>
      <c r="E190" s="22" t="s">
        <v>21</v>
      </c>
      <c r="F190" s="22" t="s">
        <v>71</v>
      </c>
      <c r="G190" s="22" t="s">
        <v>275</v>
      </c>
      <c r="H190" s="22" t="s">
        <v>239</v>
      </c>
      <c r="I190" s="23" t="n">
        <v>45463</v>
      </c>
      <c r="J190" s="23" t="n">
        <v>45476</v>
      </c>
      <c r="K190" s="23" t="n">
        <v>45473</v>
      </c>
      <c r="L190" s="0" t="n">
        <v>3000</v>
      </c>
      <c r="M190" s="0" t="n">
        <v>2194</v>
      </c>
      <c r="N190" s="0" t="n">
        <v>13</v>
      </c>
      <c r="O190" s="0" t="n">
        <v>-3</v>
      </c>
      <c r="P190" s="22" t="s">
        <v>122</v>
      </c>
      <c r="Q190" s="22" t="s">
        <v>123</v>
      </c>
      <c r="R190" s="23" t="n">
        <v>45348</v>
      </c>
      <c r="S190" s="0" t="n">
        <v>300000</v>
      </c>
      <c r="T190" s="22" t="s">
        <v>70</v>
      </c>
      <c r="U190" s="22" t="s">
        <v>67</v>
      </c>
      <c r="V190" s="0" t="n">
        <v>180</v>
      </c>
      <c r="W190" s="0" t="n">
        <f aca="false">tbl_Tasks_Clean[[#This Row],[Actual_Cost]]-tbl_Tasks_Clean[[#This Row],[Planned_Cost]]</f>
        <v>-806</v>
      </c>
      <c r="X190" s="22" t="n">
        <f aca="false">IFERROR(tbl_Tasks_Clean[[#This Row],[Actual_Cost]]/tbl_Tasks_Clean[[#This Row],[Planned_Cost]],0)</f>
        <v>0.731333333333333</v>
      </c>
      <c r="Y190" s="22" t="str">
        <f aca="false">IF(AND(tbl_Tasks_Clean[[#This Row],[Status]]="Completed",tbl_Tasks_Clean[[#This Row],[Delay_Days]]&lt;=0),"On Time","Late")</f>
        <v>On Time</v>
      </c>
      <c r="Z190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90" s="22" t="str">
        <f aca="false">INDEX(tbl_Projects[Project_Manager],MATCH(tbl_Tasks_Clean[[#This Row],[Project_ID]],tbl_Projects[Project_ID],0))</f>
        <v>Nourhan Tarek</v>
      </c>
      <c r="AB190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91" customFormat="false" ht="14.25" hidden="false" customHeight="false" outlineLevel="0" collapsed="false">
      <c r="A191" s="22" t="s">
        <v>977</v>
      </c>
      <c r="B191" s="22" t="s">
        <v>93</v>
      </c>
      <c r="C191" s="22" t="s">
        <v>94</v>
      </c>
      <c r="D191" s="22" t="s">
        <v>978</v>
      </c>
      <c r="E191" s="22" t="s">
        <v>7</v>
      </c>
      <c r="F191" s="22" t="s">
        <v>26</v>
      </c>
      <c r="G191" s="22" t="s">
        <v>275</v>
      </c>
      <c r="H191" s="22" t="s">
        <v>201</v>
      </c>
      <c r="I191" s="23" t="n">
        <v>45491</v>
      </c>
      <c r="J191" s="23" t="n">
        <v>45518</v>
      </c>
      <c r="K191" s="23"/>
      <c r="L191" s="0" t="n">
        <v>1000</v>
      </c>
      <c r="M191" s="0" t="n">
        <v>0</v>
      </c>
      <c r="N191" s="0" t="n">
        <v>27</v>
      </c>
      <c r="O191" s="0" t="n">
        <v>0</v>
      </c>
      <c r="P191" s="22" t="s">
        <v>95</v>
      </c>
      <c r="Q191" s="22" t="s">
        <v>96</v>
      </c>
      <c r="R191" s="23" t="n">
        <v>45481</v>
      </c>
      <c r="S191" s="0" t="n">
        <v>150000</v>
      </c>
      <c r="T191" s="22" t="s">
        <v>25</v>
      </c>
      <c r="U191" s="22" t="s">
        <v>27</v>
      </c>
      <c r="V191" s="0" t="n">
        <v>200</v>
      </c>
      <c r="W191" s="0" t="n">
        <f aca="false">tbl_Tasks_Clean[[#This Row],[Actual_Cost]]-tbl_Tasks_Clean[[#This Row],[Planned_Cost]]</f>
        <v>-1000</v>
      </c>
      <c r="X191" s="22" t="n">
        <f aca="false">IFERROR(tbl_Tasks_Clean[[#This Row],[Actual_Cost]]/tbl_Tasks_Clean[[#This Row],[Planned_Cost]],0)</f>
        <v>0</v>
      </c>
      <c r="Y191" s="22" t="str">
        <f aca="false">IF(AND(tbl_Tasks_Clean[[#This Row],[Status]]="Completed",tbl_Tasks_Clean[[#This Row],[Delay_Days]]&lt;=0),"On Time","Late")</f>
        <v>Late</v>
      </c>
      <c r="Z191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91" s="22" t="str">
        <f aca="false">INDEX(tbl_Projects[Project_Manager],MATCH(tbl_Tasks_Clean[[#This Row],[Project_ID]],tbl_Projects[Project_ID],0))</f>
        <v>Youssef Adel</v>
      </c>
      <c r="AB191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92" customFormat="false" ht="14.25" hidden="false" customHeight="false" outlineLevel="0" collapsed="false">
      <c r="A192" s="22" t="s">
        <v>980</v>
      </c>
      <c r="B192" s="22" t="s">
        <v>143</v>
      </c>
      <c r="C192" s="22" t="s">
        <v>144</v>
      </c>
      <c r="D192" s="22" t="s">
        <v>707</v>
      </c>
      <c r="E192" s="22" t="s">
        <v>34</v>
      </c>
      <c r="F192" s="22" t="s">
        <v>69</v>
      </c>
      <c r="G192" s="22" t="s">
        <v>175</v>
      </c>
      <c r="H192" s="22" t="s">
        <v>212</v>
      </c>
      <c r="I192" s="23" t="n">
        <v>45404</v>
      </c>
      <c r="J192" s="23" t="n">
        <v>45430</v>
      </c>
      <c r="K192" s="23"/>
      <c r="L192" s="0" t="n">
        <v>2000</v>
      </c>
      <c r="M192" s="0" t="n">
        <v>1426</v>
      </c>
      <c r="N192" s="0" t="n">
        <v>26</v>
      </c>
      <c r="O192" s="0" t="n">
        <v>0</v>
      </c>
      <c r="P192" s="22" t="s">
        <v>145</v>
      </c>
      <c r="Q192" s="22" t="s">
        <v>101</v>
      </c>
      <c r="R192" s="23" t="n">
        <v>45303</v>
      </c>
      <c r="S192" s="0" t="n">
        <v>300000</v>
      </c>
      <c r="T192" s="22" t="s">
        <v>68</v>
      </c>
      <c r="U192" s="22" t="s">
        <v>67</v>
      </c>
      <c r="V192" s="0" t="n">
        <v>180</v>
      </c>
      <c r="W192" s="0" t="n">
        <f aca="false">tbl_Tasks_Clean[[#This Row],[Actual_Cost]]-tbl_Tasks_Clean[[#This Row],[Planned_Cost]]</f>
        <v>-574</v>
      </c>
      <c r="X192" s="22" t="n">
        <f aca="false">IFERROR(tbl_Tasks_Clean[[#This Row],[Actual_Cost]]/tbl_Tasks_Clean[[#This Row],[Planned_Cost]],0)</f>
        <v>0.713</v>
      </c>
      <c r="Y192" s="22" t="str">
        <f aca="false">IF(AND(tbl_Tasks_Clean[[#This Row],[Status]]="Completed",tbl_Tasks_Clean[[#This Row],[Delay_Days]]&lt;=0),"On Time","Late")</f>
        <v>Late</v>
      </c>
      <c r="Z192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92" s="22" t="str">
        <f aca="false">INDEX(tbl_Projects[Project_Manager],MATCH(tbl_Tasks_Clean[[#This Row],[Project_ID]],tbl_Projects[Project_ID],0))</f>
        <v>Ahmed Nabil</v>
      </c>
      <c r="AB192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93" customFormat="false" ht="14.25" hidden="false" customHeight="false" outlineLevel="0" collapsed="false">
      <c r="A193" s="22" t="s">
        <v>982</v>
      </c>
      <c r="B193" s="22" t="s">
        <v>133</v>
      </c>
      <c r="C193" s="22" t="s">
        <v>134</v>
      </c>
      <c r="D193" s="22" t="s">
        <v>983</v>
      </c>
      <c r="E193" s="22" t="s">
        <v>54</v>
      </c>
      <c r="F193" s="22" t="s">
        <v>50</v>
      </c>
      <c r="G193" s="22" t="s">
        <v>275</v>
      </c>
      <c r="H193" s="22" t="s">
        <v>194</v>
      </c>
      <c r="I193" s="23" t="n">
        <v>45484</v>
      </c>
      <c r="J193" s="23" t="n">
        <v>45498</v>
      </c>
      <c r="K193" s="23" t="n">
        <v>45508</v>
      </c>
      <c r="L193" s="0" t="n">
        <v>3000</v>
      </c>
      <c r="M193" s="0" t="n">
        <v>2904</v>
      </c>
      <c r="N193" s="0" t="n">
        <v>14</v>
      </c>
      <c r="O193" s="0" t="n">
        <v>10</v>
      </c>
      <c r="P193" s="22" t="s">
        <v>135</v>
      </c>
      <c r="Q193" s="22" t="s">
        <v>101</v>
      </c>
      <c r="R193" s="23" t="n">
        <v>45347</v>
      </c>
      <c r="S193" s="0" t="n">
        <v>200000</v>
      </c>
      <c r="T193" s="22" t="s">
        <v>49</v>
      </c>
      <c r="U193" s="22" t="s">
        <v>51</v>
      </c>
      <c r="V193" s="0" t="n">
        <v>300</v>
      </c>
      <c r="W193" s="0" t="n">
        <f aca="false">tbl_Tasks_Clean[[#This Row],[Actual_Cost]]-tbl_Tasks_Clean[[#This Row],[Planned_Cost]]</f>
        <v>-96</v>
      </c>
      <c r="X193" s="22" t="n">
        <f aca="false">IFERROR(tbl_Tasks_Clean[[#This Row],[Actual_Cost]]/tbl_Tasks_Clean[[#This Row],[Planned_Cost]],0)</f>
        <v>0.968</v>
      </c>
      <c r="Y193" s="22" t="str">
        <f aca="false">IF(AND(tbl_Tasks_Clean[[#This Row],[Status]]="Completed",tbl_Tasks_Clean[[#This Row],[Delay_Days]]&lt;=0),"On Time","Late")</f>
        <v>Late</v>
      </c>
      <c r="Z193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93" s="22" t="str">
        <f aca="false">INDEX(tbl_Projects[Project_Manager],MATCH(tbl_Tasks_Clean[[#This Row],[Project_ID]],tbl_Projects[Project_ID],0))</f>
        <v>Ahmed Nabil</v>
      </c>
      <c r="AB193" s="22" t="str">
        <f aca="false">IF(tbl_Tasks_Clean[[#This Row],[Delay_Days]]&gt;0,"Delayed by "&amp;TEXT(DATEDIF(tbl_Tasks_Clean[[#This Row],[Planned_End_Date]],tbl_Tasks_Clean[[#This Row],[Actual_End_Date]],"d"),"0")&amp;" days","No delay")</f>
        <v>Delayed by 10 days</v>
      </c>
    </row>
    <row r="194" customFormat="false" ht="14.25" hidden="false" customHeight="false" outlineLevel="0" collapsed="false">
      <c r="A194" s="22" t="s">
        <v>986</v>
      </c>
      <c r="B194" s="22" t="s">
        <v>125</v>
      </c>
      <c r="C194" s="22" t="s">
        <v>126</v>
      </c>
      <c r="D194" s="22" t="s">
        <v>886</v>
      </c>
      <c r="E194" s="22" t="s">
        <v>34</v>
      </c>
      <c r="F194" s="22" t="s">
        <v>18</v>
      </c>
      <c r="G194" s="22" t="s">
        <v>275</v>
      </c>
      <c r="H194" s="22" t="s">
        <v>212</v>
      </c>
      <c r="I194" s="23" t="n">
        <v>45329</v>
      </c>
      <c r="J194" s="23" t="n">
        <v>45348</v>
      </c>
      <c r="K194" s="23"/>
      <c r="L194" s="0" t="n">
        <v>5000</v>
      </c>
      <c r="M194" s="0" t="n">
        <v>2255</v>
      </c>
      <c r="N194" s="0" t="n">
        <v>19</v>
      </c>
      <c r="O194" s="0" t="n">
        <v>0</v>
      </c>
      <c r="P194" s="22" t="s">
        <v>127</v>
      </c>
      <c r="Q194" s="22" t="s">
        <v>106</v>
      </c>
      <c r="R194" s="23" t="n">
        <v>45293</v>
      </c>
      <c r="S194" s="0" t="n">
        <v>100000</v>
      </c>
      <c r="T194" s="22" t="s">
        <v>17</v>
      </c>
      <c r="U194" s="22" t="s">
        <v>8</v>
      </c>
      <c r="V194" s="0" t="n">
        <v>220</v>
      </c>
      <c r="W194" s="0" t="n">
        <f aca="false">tbl_Tasks_Clean[[#This Row],[Actual_Cost]]-tbl_Tasks_Clean[[#This Row],[Planned_Cost]]</f>
        <v>-2745</v>
      </c>
      <c r="X194" s="22" t="n">
        <f aca="false">IFERROR(tbl_Tasks_Clean[[#This Row],[Actual_Cost]]/tbl_Tasks_Clean[[#This Row],[Planned_Cost]],0)</f>
        <v>0.451</v>
      </c>
      <c r="Y194" s="22" t="str">
        <f aca="false">IF(AND(tbl_Tasks_Clean[[#This Row],[Status]]="Completed",tbl_Tasks_Clean[[#This Row],[Delay_Days]]&lt;=0),"On Time","Late")</f>
        <v>Late</v>
      </c>
      <c r="Z194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94" s="22" t="str">
        <f aca="false">INDEX(tbl_Projects[Project_Manager],MATCH(tbl_Tasks_Clean[[#This Row],[Project_ID]],tbl_Projects[Project_ID],0))</f>
        <v>Laila Samir</v>
      </c>
      <c r="AB194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95" customFormat="false" ht="14.25" hidden="false" customHeight="false" outlineLevel="0" collapsed="false">
      <c r="A195" s="22" t="s">
        <v>989</v>
      </c>
      <c r="B195" s="22" t="s">
        <v>98</v>
      </c>
      <c r="C195" s="22" t="s">
        <v>99</v>
      </c>
      <c r="D195" s="22" t="s">
        <v>1377</v>
      </c>
      <c r="E195" s="22" t="s">
        <v>7</v>
      </c>
      <c r="F195" s="22" t="s">
        <v>71</v>
      </c>
      <c r="G195" s="22" t="s">
        <v>275</v>
      </c>
      <c r="H195" s="22" t="s">
        <v>239</v>
      </c>
      <c r="I195" s="23" t="n">
        <v>45460</v>
      </c>
      <c r="J195" s="23" t="n">
        <v>45466</v>
      </c>
      <c r="K195" s="23" t="n">
        <v>45468</v>
      </c>
      <c r="L195" s="0" t="n">
        <v>1500</v>
      </c>
      <c r="M195" s="0" t="n">
        <v>1516</v>
      </c>
      <c r="N195" s="0" t="n">
        <v>6</v>
      </c>
      <c r="O195" s="0" t="n">
        <v>2</v>
      </c>
      <c r="P195" s="22" t="s">
        <v>100</v>
      </c>
      <c r="Q195" s="22" t="s">
        <v>101</v>
      </c>
      <c r="R195" s="23" t="n">
        <v>45349</v>
      </c>
      <c r="S195" s="0" t="n">
        <v>100000</v>
      </c>
      <c r="T195" s="22" t="s">
        <v>70</v>
      </c>
      <c r="U195" s="22" t="s">
        <v>67</v>
      </c>
      <c r="V195" s="0" t="n">
        <v>180</v>
      </c>
      <c r="W195" s="0" t="n">
        <f aca="false">tbl_Tasks_Clean[[#This Row],[Actual_Cost]]-tbl_Tasks_Clean[[#This Row],[Planned_Cost]]</f>
        <v>16</v>
      </c>
      <c r="X195" s="22" t="n">
        <f aca="false">IFERROR(tbl_Tasks_Clean[[#This Row],[Actual_Cost]]/tbl_Tasks_Clean[[#This Row],[Planned_Cost]],0)</f>
        <v>1.01066666666667</v>
      </c>
      <c r="Y195" s="22" t="str">
        <f aca="false">IF(AND(tbl_Tasks_Clean[[#This Row],[Status]]="Completed",tbl_Tasks_Clean[[#This Row],[Delay_Days]]&lt;=0),"On Time","Late")</f>
        <v>Late</v>
      </c>
      <c r="Z195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195" s="22" t="str">
        <f aca="false">INDEX(tbl_Projects[Project_Manager],MATCH(tbl_Tasks_Clean[[#This Row],[Project_ID]],tbl_Projects[Project_ID],0))</f>
        <v>Ahmed Nabil</v>
      </c>
      <c r="AB195" s="22" t="str">
        <f aca="false">IF(tbl_Tasks_Clean[[#This Row],[Delay_Days]]&gt;0,"Delayed by "&amp;TEXT(DATEDIF(tbl_Tasks_Clean[[#This Row],[Planned_End_Date]],tbl_Tasks_Clean[[#This Row],[Actual_End_Date]],"d"),"0")&amp;" days","No delay")</f>
        <v>Delayed by 2 days</v>
      </c>
    </row>
    <row r="196" customFormat="false" ht="14.25" hidden="false" customHeight="false" outlineLevel="0" collapsed="false">
      <c r="A196" s="22" t="s">
        <v>994</v>
      </c>
      <c r="B196" s="22" t="s">
        <v>88</v>
      </c>
      <c r="C196" s="22" t="s">
        <v>89</v>
      </c>
      <c r="D196" s="22" t="s">
        <v>995</v>
      </c>
      <c r="E196" s="22" t="s">
        <v>44</v>
      </c>
      <c r="F196" s="22" t="s">
        <v>73</v>
      </c>
      <c r="G196" s="22" t="s">
        <v>175</v>
      </c>
      <c r="H196" s="22" t="s">
        <v>212</v>
      </c>
      <c r="I196" s="23" t="n">
        <v>45545</v>
      </c>
      <c r="J196" s="23" t="n">
        <v>45561</v>
      </c>
      <c r="K196" s="23"/>
      <c r="L196" s="0" t="n">
        <v>5000</v>
      </c>
      <c r="M196" s="0" t="n">
        <v>2401</v>
      </c>
      <c r="N196" s="0" t="n">
        <v>16</v>
      </c>
      <c r="O196" s="0" t="n">
        <v>0</v>
      </c>
      <c r="P196" s="22" t="s">
        <v>90</v>
      </c>
      <c r="Q196" s="22" t="s">
        <v>91</v>
      </c>
      <c r="R196" s="23" t="n">
        <v>45455</v>
      </c>
      <c r="S196" s="0" t="n">
        <v>75000</v>
      </c>
      <c r="T196" s="22" t="s">
        <v>72</v>
      </c>
      <c r="U196" s="22" t="s">
        <v>67</v>
      </c>
      <c r="V196" s="0" t="n">
        <v>200</v>
      </c>
      <c r="W196" s="0" t="n">
        <f aca="false">tbl_Tasks_Clean[[#This Row],[Actual_Cost]]-tbl_Tasks_Clean[[#This Row],[Planned_Cost]]</f>
        <v>-2599</v>
      </c>
      <c r="X196" s="22" t="n">
        <f aca="false">IFERROR(tbl_Tasks_Clean[[#This Row],[Actual_Cost]]/tbl_Tasks_Clean[[#This Row],[Planned_Cost]],0)</f>
        <v>0.4802</v>
      </c>
      <c r="Y196" s="22" t="str">
        <f aca="false">IF(AND(tbl_Tasks_Clean[[#This Row],[Status]]="Completed",tbl_Tasks_Clean[[#This Row],[Delay_Days]]&lt;=0),"On Time","Late")</f>
        <v>Late</v>
      </c>
      <c r="Z196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96" s="22" t="str">
        <f aca="false">INDEX(tbl_Projects[Project_Manager],MATCH(tbl_Tasks_Clean[[#This Row],[Project_ID]],tbl_Projects[Project_ID],0))</f>
        <v>Mona Farid</v>
      </c>
      <c r="AB196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97" customFormat="false" ht="14.25" hidden="false" customHeight="false" outlineLevel="0" collapsed="false">
      <c r="A197" s="22" t="s">
        <v>998</v>
      </c>
      <c r="B197" s="22" t="s">
        <v>88</v>
      </c>
      <c r="C197" s="22" t="s">
        <v>89</v>
      </c>
      <c r="D197" s="22" t="s">
        <v>1378</v>
      </c>
      <c r="E197" s="22" t="s">
        <v>34</v>
      </c>
      <c r="F197" s="22" t="s">
        <v>20</v>
      </c>
      <c r="G197" s="22" t="s">
        <v>175</v>
      </c>
      <c r="H197" s="22" t="s">
        <v>212</v>
      </c>
      <c r="I197" s="23" t="n">
        <v>45504</v>
      </c>
      <c r="J197" s="23" t="n">
        <v>45520</v>
      </c>
      <c r="K197" s="23"/>
      <c r="L197" s="0" t="n">
        <v>5000</v>
      </c>
      <c r="M197" s="0" t="n">
        <v>3032</v>
      </c>
      <c r="N197" s="0" t="n">
        <v>16</v>
      </c>
      <c r="O197" s="0" t="n">
        <v>0</v>
      </c>
      <c r="P197" s="22" t="s">
        <v>90</v>
      </c>
      <c r="Q197" s="22" t="s">
        <v>91</v>
      </c>
      <c r="R197" s="23" t="n">
        <v>45455</v>
      </c>
      <c r="S197" s="0" t="n">
        <v>75000</v>
      </c>
      <c r="T197" s="22" t="s">
        <v>19</v>
      </c>
      <c r="U197" s="22" t="s">
        <v>22</v>
      </c>
      <c r="V197" s="0" t="n">
        <v>180</v>
      </c>
      <c r="W197" s="0" t="n">
        <f aca="false">tbl_Tasks_Clean[[#This Row],[Actual_Cost]]-tbl_Tasks_Clean[[#This Row],[Planned_Cost]]</f>
        <v>-1968</v>
      </c>
      <c r="X197" s="22" t="n">
        <f aca="false">IFERROR(tbl_Tasks_Clean[[#This Row],[Actual_Cost]]/tbl_Tasks_Clean[[#This Row],[Planned_Cost]],0)</f>
        <v>0.6064</v>
      </c>
      <c r="Y197" s="22" t="str">
        <f aca="false">IF(AND(tbl_Tasks_Clean[[#This Row],[Status]]="Completed",tbl_Tasks_Clean[[#This Row],[Delay_Days]]&lt;=0),"On Time","Late")</f>
        <v>Late</v>
      </c>
      <c r="Z197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97" s="22" t="str">
        <f aca="false">INDEX(tbl_Projects[Project_Manager],MATCH(tbl_Tasks_Clean[[#This Row],[Project_ID]],tbl_Projects[Project_ID],0))</f>
        <v>Mona Farid</v>
      </c>
      <c r="AB197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98" customFormat="false" ht="14.25" hidden="false" customHeight="false" outlineLevel="0" collapsed="false">
      <c r="A198" s="22" t="s">
        <v>1001</v>
      </c>
      <c r="B198" s="22" t="s">
        <v>143</v>
      </c>
      <c r="C198" s="22" t="s">
        <v>144</v>
      </c>
      <c r="D198" s="22" t="s">
        <v>879</v>
      </c>
      <c r="E198" s="22" t="s">
        <v>21</v>
      </c>
      <c r="F198" s="22" t="s">
        <v>66</v>
      </c>
      <c r="G198" s="22" t="s">
        <v>175</v>
      </c>
      <c r="H198" s="22" t="s">
        <v>212</v>
      </c>
      <c r="I198" s="23" t="n">
        <v>45346</v>
      </c>
      <c r="J198" s="23" t="n">
        <v>45370</v>
      </c>
      <c r="K198" s="23"/>
      <c r="L198" s="0" t="n">
        <v>1000</v>
      </c>
      <c r="M198" s="0" t="n">
        <v>416</v>
      </c>
      <c r="N198" s="0" t="n">
        <v>24</v>
      </c>
      <c r="O198" s="0" t="n">
        <v>0</v>
      </c>
      <c r="P198" s="22" t="s">
        <v>145</v>
      </c>
      <c r="Q198" s="22" t="s">
        <v>101</v>
      </c>
      <c r="R198" s="23" t="n">
        <v>45303</v>
      </c>
      <c r="S198" s="0" t="n">
        <v>300000</v>
      </c>
      <c r="T198" s="22" t="s">
        <v>65</v>
      </c>
      <c r="U198" s="22" t="s">
        <v>67</v>
      </c>
      <c r="V198" s="0" t="n">
        <v>250</v>
      </c>
      <c r="W198" s="0" t="n">
        <f aca="false">tbl_Tasks_Clean[[#This Row],[Actual_Cost]]-tbl_Tasks_Clean[[#This Row],[Planned_Cost]]</f>
        <v>-584</v>
      </c>
      <c r="X198" s="22" t="n">
        <f aca="false">IFERROR(tbl_Tasks_Clean[[#This Row],[Actual_Cost]]/tbl_Tasks_Clean[[#This Row],[Planned_Cost]],0)</f>
        <v>0.416</v>
      </c>
      <c r="Y198" s="22" t="str">
        <f aca="false">IF(AND(tbl_Tasks_Clean[[#This Row],[Status]]="Completed",tbl_Tasks_Clean[[#This Row],[Delay_Days]]&lt;=0),"On Time","Late")</f>
        <v>Late</v>
      </c>
      <c r="Z198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198" s="22" t="str">
        <f aca="false">INDEX(tbl_Projects[Project_Manager],MATCH(tbl_Tasks_Clean[[#This Row],[Project_ID]],tbl_Projects[Project_ID],0))</f>
        <v>Ahmed Nabil</v>
      </c>
      <c r="AB198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199" customFormat="false" ht="14.25" hidden="false" customHeight="false" outlineLevel="0" collapsed="false">
      <c r="A199" s="22" t="s">
        <v>1002</v>
      </c>
      <c r="B199" s="22" t="s">
        <v>120</v>
      </c>
      <c r="C199" s="22" t="s">
        <v>121</v>
      </c>
      <c r="D199" s="22" t="s">
        <v>1003</v>
      </c>
      <c r="E199" s="22" t="s">
        <v>7</v>
      </c>
      <c r="F199" s="22" t="s">
        <v>50</v>
      </c>
      <c r="G199" s="22" t="s">
        <v>175</v>
      </c>
      <c r="H199" s="22" t="s">
        <v>194</v>
      </c>
      <c r="I199" s="23" t="n">
        <v>45445</v>
      </c>
      <c r="J199" s="23" t="n">
        <v>45453</v>
      </c>
      <c r="K199" s="23" t="n">
        <v>45454</v>
      </c>
      <c r="L199" s="0" t="n">
        <v>3000</v>
      </c>
      <c r="M199" s="0" t="n">
        <v>2732</v>
      </c>
      <c r="N199" s="0" t="n">
        <v>8</v>
      </c>
      <c r="O199" s="0" t="n">
        <v>1</v>
      </c>
      <c r="P199" s="22" t="s">
        <v>122</v>
      </c>
      <c r="Q199" s="22" t="s">
        <v>123</v>
      </c>
      <c r="R199" s="23" t="n">
        <v>45348</v>
      </c>
      <c r="S199" s="0" t="n">
        <v>300000</v>
      </c>
      <c r="T199" s="22" t="s">
        <v>49</v>
      </c>
      <c r="U199" s="22" t="s">
        <v>51</v>
      </c>
      <c r="V199" s="0" t="n">
        <v>300</v>
      </c>
      <c r="W199" s="0" t="n">
        <f aca="false">tbl_Tasks_Clean[[#This Row],[Actual_Cost]]-tbl_Tasks_Clean[[#This Row],[Planned_Cost]]</f>
        <v>-268</v>
      </c>
      <c r="X199" s="22" t="n">
        <f aca="false">IFERROR(tbl_Tasks_Clean[[#This Row],[Actual_Cost]]/tbl_Tasks_Clean[[#This Row],[Planned_Cost]],0)</f>
        <v>0.910666666666667</v>
      </c>
      <c r="Y199" s="22" t="str">
        <f aca="false">IF(AND(tbl_Tasks_Clean[[#This Row],[Status]]="Completed",tbl_Tasks_Clean[[#This Row],[Delay_Days]]&lt;=0),"On Time","Late")</f>
        <v>Late</v>
      </c>
      <c r="Z199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199" s="22" t="str">
        <f aca="false">INDEX(tbl_Projects[Project_Manager],MATCH(tbl_Tasks_Clean[[#This Row],[Project_ID]],tbl_Projects[Project_ID],0))</f>
        <v>Nourhan Tarek</v>
      </c>
      <c r="AB199" s="22" t="str">
        <f aca="false">IF(tbl_Tasks_Clean[[#This Row],[Delay_Days]]&gt;0,"Delayed by "&amp;TEXT(DATEDIF(tbl_Tasks_Clean[[#This Row],[Planned_End_Date]],tbl_Tasks_Clean[[#This Row],[Actual_End_Date]],"d"),"0")&amp;" days","No delay")</f>
        <v>Delayed by 1 days</v>
      </c>
    </row>
    <row r="200" customFormat="false" ht="14.25" hidden="false" customHeight="false" outlineLevel="0" collapsed="false">
      <c r="A200" s="22" t="s">
        <v>1006</v>
      </c>
      <c r="B200" s="22" t="s">
        <v>98</v>
      </c>
      <c r="C200" s="22" t="s">
        <v>99</v>
      </c>
      <c r="D200" s="22" t="s">
        <v>1007</v>
      </c>
      <c r="E200" s="22" t="s">
        <v>54</v>
      </c>
      <c r="F200" s="22" t="s">
        <v>50</v>
      </c>
      <c r="G200" s="22" t="s">
        <v>175</v>
      </c>
      <c r="H200" s="22" t="s">
        <v>239</v>
      </c>
      <c r="I200" s="23" t="n">
        <v>45465</v>
      </c>
      <c r="J200" s="23" t="n">
        <v>45495</v>
      </c>
      <c r="K200" s="23" t="n">
        <v>45494</v>
      </c>
      <c r="L200" s="0" t="n">
        <v>2500</v>
      </c>
      <c r="M200" s="0" t="n">
        <v>3499</v>
      </c>
      <c r="N200" s="0" t="n">
        <v>30</v>
      </c>
      <c r="O200" s="0" t="n">
        <v>-1</v>
      </c>
      <c r="P200" s="22" t="s">
        <v>100</v>
      </c>
      <c r="Q200" s="22" t="s">
        <v>101</v>
      </c>
      <c r="R200" s="23" t="n">
        <v>45349</v>
      </c>
      <c r="S200" s="0" t="n">
        <v>100000</v>
      </c>
      <c r="T200" s="22" t="s">
        <v>49</v>
      </c>
      <c r="U200" s="22" t="s">
        <v>51</v>
      </c>
      <c r="V200" s="0" t="n">
        <v>300</v>
      </c>
      <c r="W200" s="0" t="n">
        <f aca="false">tbl_Tasks_Clean[[#This Row],[Actual_Cost]]-tbl_Tasks_Clean[[#This Row],[Planned_Cost]]</f>
        <v>999</v>
      </c>
      <c r="X200" s="22" t="n">
        <f aca="false">IFERROR(tbl_Tasks_Clean[[#This Row],[Actual_Cost]]/tbl_Tasks_Clean[[#This Row],[Planned_Cost]],0)</f>
        <v>1.3996</v>
      </c>
      <c r="Y200" s="22" t="str">
        <f aca="false">IF(AND(tbl_Tasks_Clean[[#This Row],[Status]]="Completed",tbl_Tasks_Clean[[#This Row],[Delay_Days]]&lt;=0),"On Time","Late")</f>
        <v>On Time</v>
      </c>
      <c r="Z200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00" s="22" t="str">
        <f aca="false">INDEX(tbl_Projects[Project_Manager],MATCH(tbl_Tasks_Clean[[#This Row],[Project_ID]],tbl_Projects[Project_ID],0))</f>
        <v>Ahmed Nabil</v>
      </c>
      <c r="AB200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01" customFormat="false" ht="14.25" hidden="false" customHeight="false" outlineLevel="0" collapsed="false">
      <c r="A201" s="22" t="s">
        <v>1010</v>
      </c>
      <c r="B201" s="22" t="s">
        <v>108</v>
      </c>
      <c r="C201" s="22" t="s">
        <v>109</v>
      </c>
      <c r="D201" s="22" t="s">
        <v>1379</v>
      </c>
      <c r="E201" s="22" t="s">
        <v>7</v>
      </c>
      <c r="F201" s="22" t="s">
        <v>6</v>
      </c>
      <c r="G201" s="22" t="s">
        <v>206</v>
      </c>
      <c r="H201" s="22" t="s">
        <v>212</v>
      </c>
      <c r="I201" s="23" t="n">
        <v>45328</v>
      </c>
      <c r="J201" s="23" t="n">
        <v>45357</v>
      </c>
      <c r="K201" s="23"/>
      <c r="L201" s="0" t="n">
        <v>6000</v>
      </c>
      <c r="M201" s="0" t="n">
        <v>3348</v>
      </c>
      <c r="N201" s="0" t="n">
        <v>29</v>
      </c>
      <c r="O201" s="0" t="n">
        <v>0</v>
      </c>
      <c r="P201" s="22" t="s">
        <v>110</v>
      </c>
      <c r="Q201" s="22" t="s">
        <v>101</v>
      </c>
      <c r="R201" s="23" t="n">
        <v>45300</v>
      </c>
      <c r="S201" s="0" t="n">
        <v>50000</v>
      </c>
      <c r="T201" s="22" t="s">
        <v>5</v>
      </c>
      <c r="U201" s="22" t="s">
        <v>8</v>
      </c>
      <c r="V201" s="0" t="n">
        <v>150</v>
      </c>
      <c r="W201" s="0" t="n">
        <f aca="false">tbl_Tasks_Clean[[#This Row],[Actual_Cost]]-tbl_Tasks_Clean[[#This Row],[Planned_Cost]]</f>
        <v>-2652</v>
      </c>
      <c r="X201" s="22" t="n">
        <f aca="false">IFERROR(tbl_Tasks_Clean[[#This Row],[Actual_Cost]]/tbl_Tasks_Clean[[#This Row],[Planned_Cost]],0)</f>
        <v>0.558</v>
      </c>
      <c r="Y201" s="22" t="str">
        <f aca="false">IF(AND(tbl_Tasks_Clean[[#This Row],[Status]]="Completed",tbl_Tasks_Clean[[#This Row],[Delay_Days]]&lt;=0),"On Time","Late")</f>
        <v>Late</v>
      </c>
      <c r="Z201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01" s="22" t="str">
        <f aca="false">INDEX(tbl_Projects[Project_Manager],MATCH(tbl_Tasks_Clean[[#This Row],[Project_ID]],tbl_Projects[Project_ID],0))</f>
        <v>Ahmed Nabil</v>
      </c>
      <c r="AB201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02" customFormat="false" ht="14.25" hidden="false" customHeight="false" outlineLevel="0" collapsed="false">
      <c r="A202" s="22" t="s">
        <v>1014</v>
      </c>
      <c r="B202" s="22" t="s">
        <v>88</v>
      </c>
      <c r="C202" s="22" t="s">
        <v>89</v>
      </c>
      <c r="D202" s="22" t="s">
        <v>1015</v>
      </c>
      <c r="E202" s="22" t="s">
        <v>34</v>
      </c>
      <c r="F202" s="22" t="s">
        <v>71</v>
      </c>
      <c r="G202" s="22" t="s">
        <v>175</v>
      </c>
      <c r="H202" s="22" t="s">
        <v>239</v>
      </c>
      <c r="I202" s="23" t="n">
        <v>45598</v>
      </c>
      <c r="J202" s="23" t="n">
        <v>45601</v>
      </c>
      <c r="K202" s="23" t="n">
        <v>45599</v>
      </c>
      <c r="L202" s="0" t="n">
        <v>1500</v>
      </c>
      <c r="M202" s="0" t="n">
        <v>2042</v>
      </c>
      <c r="N202" s="0" t="n">
        <v>3</v>
      </c>
      <c r="O202" s="0" t="n">
        <v>-2</v>
      </c>
      <c r="P202" s="22" t="s">
        <v>90</v>
      </c>
      <c r="Q202" s="22" t="s">
        <v>91</v>
      </c>
      <c r="R202" s="23" t="n">
        <v>45455</v>
      </c>
      <c r="S202" s="0" t="n">
        <v>75000</v>
      </c>
      <c r="T202" s="22" t="s">
        <v>70</v>
      </c>
      <c r="U202" s="22" t="s">
        <v>67</v>
      </c>
      <c r="V202" s="0" t="n">
        <v>180</v>
      </c>
      <c r="W202" s="0" t="n">
        <f aca="false">tbl_Tasks_Clean[[#This Row],[Actual_Cost]]-tbl_Tasks_Clean[[#This Row],[Planned_Cost]]</f>
        <v>542</v>
      </c>
      <c r="X202" s="22" t="n">
        <f aca="false">IFERROR(tbl_Tasks_Clean[[#This Row],[Actual_Cost]]/tbl_Tasks_Clean[[#This Row],[Planned_Cost]],0)</f>
        <v>1.36133333333333</v>
      </c>
      <c r="Y202" s="22" t="str">
        <f aca="false">IF(AND(tbl_Tasks_Clean[[#This Row],[Status]]="Completed",tbl_Tasks_Clean[[#This Row],[Delay_Days]]&lt;=0),"On Time","Late")</f>
        <v>On Time</v>
      </c>
      <c r="Z202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202" s="22" t="str">
        <f aca="false">INDEX(tbl_Projects[Project_Manager],MATCH(tbl_Tasks_Clean[[#This Row],[Project_ID]],tbl_Projects[Project_ID],0))</f>
        <v>Mona Farid</v>
      </c>
      <c r="AB202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03" customFormat="false" ht="14.25" hidden="false" customHeight="false" outlineLevel="0" collapsed="false">
      <c r="A203" s="22" t="s">
        <v>1018</v>
      </c>
      <c r="B203" s="22" t="s">
        <v>98</v>
      </c>
      <c r="C203" s="22" t="s">
        <v>99</v>
      </c>
      <c r="D203" s="22" t="s">
        <v>1019</v>
      </c>
      <c r="E203" s="22" t="s">
        <v>54</v>
      </c>
      <c r="F203" s="22" t="s">
        <v>79</v>
      </c>
      <c r="G203" s="22" t="s">
        <v>206</v>
      </c>
      <c r="H203" s="22" t="s">
        <v>239</v>
      </c>
      <c r="I203" s="23" t="n">
        <v>45349</v>
      </c>
      <c r="J203" s="23" t="n">
        <v>45360</v>
      </c>
      <c r="K203" s="23" t="n">
        <v>45358</v>
      </c>
      <c r="L203" s="0" t="n">
        <v>2000</v>
      </c>
      <c r="M203" s="0" t="n">
        <v>2156</v>
      </c>
      <c r="N203" s="0" t="n">
        <v>11</v>
      </c>
      <c r="O203" s="0" t="n">
        <v>-2</v>
      </c>
      <c r="P203" s="22" t="s">
        <v>100</v>
      </c>
      <c r="Q203" s="22" t="s">
        <v>101</v>
      </c>
      <c r="R203" s="23" t="n">
        <v>45349</v>
      </c>
      <c r="S203" s="0" t="n">
        <v>100000</v>
      </c>
      <c r="T203" s="22" t="s">
        <v>78</v>
      </c>
      <c r="U203" s="22" t="s">
        <v>77</v>
      </c>
      <c r="V203" s="0" t="n">
        <v>250</v>
      </c>
      <c r="W203" s="0" t="n">
        <f aca="false">tbl_Tasks_Clean[[#This Row],[Actual_Cost]]-tbl_Tasks_Clean[[#This Row],[Planned_Cost]]</f>
        <v>156</v>
      </c>
      <c r="X203" s="22" t="n">
        <f aca="false">IFERROR(tbl_Tasks_Clean[[#This Row],[Actual_Cost]]/tbl_Tasks_Clean[[#This Row],[Planned_Cost]],0)</f>
        <v>1.078</v>
      </c>
      <c r="Y203" s="22" t="str">
        <f aca="false">IF(AND(tbl_Tasks_Clean[[#This Row],[Status]]="Completed",tbl_Tasks_Clean[[#This Row],[Delay_Days]]&lt;=0),"On Time","Late")</f>
        <v>On Time</v>
      </c>
      <c r="Z203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03" s="22" t="str">
        <f aca="false">INDEX(tbl_Projects[Project_Manager],MATCH(tbl_Tasks_Clean[[#This Row],[Project_ID]],tbl_Projects[Project_ID],0))</f>
        <v>Ahmed Nabil</v>
      </c>
      <c r="AB203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04" customFormat="false" ht="14.25" hidden="false" customHeight="false" outlineLevel="0" collapsed="false">
      <c r="A204" s="22" t="s">
        <v>1023</v>
      </c>
      <c r="B204" s="22" t="s">
        <v>140</v>
      </c>
      <c r="C204" s="22" t="s">
        <v>141</v>
      </c>
      <c r="D204" s="22" t="s">
        <v>591</v>
      </c>
      <c r="E204" s="22" t="s">
        <v>7</v>
      </c>
      <c r="F204" s="22" t="s">
        <v>66</v>
      </c>
      <c r="G204" s="22" t="s">
        <v>175</v>
      </c>
      <c r="H204" s="22" t="s">
        <v>239</v>
      </c>
      <c r="I204" s="23" t="n">
        <v>45461</v>
      </c>
      <c r="J204" s="23" t="n">
        <v>45470</v>
      </c>
      <c r="K204" s="23" t="n">
        <v>45472</v>
      </c>
      <c r="L204" s="0" t="n">
        <v>4000</v>
      </c>
      <c r="M204" s="0" t="n">
        <v>3393</v>
      </c>
      <c r="N204" s="0" t="n">
        <v>9</v>
      </c>
      <c r="O204" s="0" t="n">
        <v>2</v>
      </c>
      <c r="P204" s="22" t="s">
        <v>118</v>
      </c>
      <c r="Q204" s="22" t="s">
        <v>123</v>
      </c>
      <c r="R204" s="23" t="n">
        <v>45383</v>
      </c>
      <c r="S204" s="0" t="n">
        <v>200000</v>
      </c>
      <c r="T204" s="22" t="s">
        <v>65</v>
      </c>
      <c r="U204" s="22" t="s">
        <v>67</v>
      </c>
      <c r="V204" s="0" t="n">
        <v>250</v>
      </c>
      <c r="W204" s="0" t="n">
        <f aca="false">tbl_Tasks_Clean[[#This Row],[Actual_Cost]]-tbl_Tasks_Clean[[#This Row],[Planned_Cost]]</f>
        <v>-607</v>
      </c>
      <c r="X204" s="22" t="n">
        <f aca="false">IFERROR(tbl_Tasks_Clean[[#This Row],[Actual_Cost]]/tbl_Tasks_Clean[[#This Row],[Planned_Cost]],0)</f>
        <v>0.84825</v>
      </c>
      <c r="Y204" s="22" t="str">
        <f aca="false">IF(AND(tbl_Tasks_Clean[[#This Row],[Status]]="Completed",tbl_Tasks_Clean[[#This Row],[Delay_Days]]&lt;=0),"On Time","Late")</f>
        <v>Late</v>
      </c>
      <c r="Z204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04" s="22" t="str">
        <f aca="false">INDEX(tbl_Projects[Project_Manager],MATCH(tbl_Tasks_Clean[[#This Row],[Project_ID]],tbl_Projects[Project_ID],0))</f>
        <v>Nourhan Tarek</v>
      </c>
      <c r="AB204" s="22" t="str">
        <f aca="false">IF(tbl_Tasks_Clean[[#This Row],[Delay_Days]]&gt;0,"Delayed by "&amp;TEXT(DATEDIF(tbl_Tasks_Clean[[#This Row],[Planned_End_Date]],tbl_Tasks_Clean[[#This Row],[Actual_End_Date]],"d"),"0")&amp;" days","No delay")</f>
        <v>Delayed by 2 days</v>
      </c>
    </row>
    <row r="205" customFormat="false" ht="14.25" hidden="false" customHeight="false" outlineLevel="0" collapsed="false">
      <c r="A205" s="22" t="s">
        <v>1026</v>
      </c>
      <c r="B205" s="22" t="s">
        <v>125</v>
      </c>
      <c r="C205" s="22" t="s">
        <v>126</v>
      </c>
      <c r="D205" s="22" t="s">
        <v>1027</v>
      </c>
      <c r="E205" s="22" t="s">
        <v>7</v>
      </c>
      <c r="F205" s="22" t="s">
        <v>71</v>
      </c>
      <c r="G205" s="22" t="s">
        <v>275</v>
      </c>
      <c r="H205" s="22" t="s">
        <v>212</v>
      </c>
      <c r="I205" s="23" t="n">
        <v>45425</v>
      </c>
      <c r="J205" s="23" t="n">
        <v>45449</v>
      </c>
      <c r="K205" s="23"/>
      <c r="L205" s="0" t="n">
        <v>6000</v>
      </c>
      <c r="M205" s="0" t="n">
        <v>1233</v>
      </c>
      <c r="N205" s="0" t="n">
        <v>24</v>
      </c>
      <c r="O205" s="0" t="n">
        <v>0</v>
      </c>
      <c r="P205" s="22" t="s">
        <v>127</v>
      </c>
      <c r="Q205" s="22" t="s">
        <v>106</v>
      </c>
      <c r="R205" s="23" t="n">
        <v>45293</v>
      </c>
      <c r="S205" s="0" t="n">
        <v>100000</v>
      </c>
      <c r="T205" s="22" t="s">
        <v>70</v>
      </c>
      <c r="U205" s="22" t="s">
        <v>67</v>
      </c>
      <c r="V205" s="0" t="n">
        <v>180</v>
      </c>
      <c r="W205" s="0" t="n">
        <f aca="false">tbl_Tasks_Clean[[#This Row],[Actual_Cost]]-tbl_Tasks_Clean[[#This Row],[Planned_Cost]]</f>
        <v>-4767</v>
      </c>
      <c r="X205" s="22" t="n">
        <f aca="false">IFERROR(tbl_Tasks_Clean[[#This Row],[Actual_Cost]]/tbl_Tasks_Clean[[#This Row],[Planned_Cost]],0)</f>
        <v>0.2055</v>
      </c>
      <c r="Y205" s="22" t="str">
        <f aca="false">IF(AND(tbl_Tasks_Clean[[#This Row],[Status]]="Completed",tbl_Tasks_Clean[[#This Row],[Delay_Days]]&lt;=0),"On Time","Late")</f>
        <v>Late</v>
      </c>
      <c r="Z205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05" s="22" t="str">
        <f aca="false">INDEX(tbl_Projects[Project_Manager],MATCH(tbl_Tasks_Clean[[#This Row],[Project_ID]],tbl_Projects[Project_ID],0))</f>
        <v>Laila Samir</v>
      </c>
      <c r="AB205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06" customFormat="false" ht="14.25" hidden="false" customHeight="false" outlineLevel="0" collapsed="false">
      <c r="A206" s="22" t="s">
        <v>1029</v>
      </c>
      <c r="B206" s="22" t="s">
        <v>120</v>
      </c>
      <c r="C206" s="22" t="s">
        <v>121</v>
      </c>
      <c r="D206" s="22" t="s">
        <v>325</v>
      </c>
      <c r="E206" s="22" t="s">
        <v>76</v>
      </c>
      <c r="F206" s="22" t="s">
        <v>18</v>
      </c>
      <c r="G206" s="22" t="s">
        <v>206</v>
      </c>
      <c r="H206" s="22" t="s">
        <v>239</v>
      </c>
      <c r="I206" s="23" t="n">
        <v>45383</v>
      </c>
      <c r="J206" s="23" t="n">
        <v>45406</v>
      </c>
      <c r="K206" s="23" t="n">
        <v>45405</v>
      </c>
      <c r="M206" s="0" t="n">
        <v>2192</v>
      </c>
      <c r="N206" s="0" t="n">
        <v>23</v>
      </c>
      <c r="O206" s="0" t="n">
        <v>-1</v>
      </c>
      <c r="P206" s="22" t="s">
        <v>122</v>
      </c>
      <c r="Q206" s="22" t="s">
        <v>123</v>
      </c>
      <c r="R206" s="23" t="n">
        <v>45348</v>
      </c>
      <c r="S206" s="0" t="n">
        <v>300000</v>
      </c>
      <c r="T206" s="22" t="s">
        <v>17</v>
      </c>
      <c r="U206" s="22" t="s">
        <v>8</v>
      </c>
      <c r="V206" s="0" t="n">
        <v>220</v>
      </c>
      <c r="W206" s="0" t="n">
        <f aca="false">tbl_Tasks_Clean[[#This Row],[Actual_Cost]]-tbl_Tasks_Clean[[#This Row],[Planned_Cost]]</f>
        <v>2192</v>
      </c>
      <c r="X206" s="22" t="n">
        <f aca="false">IFERROR(tbl_Tasks_Clean[[#This Row],[Actual_Cost]]/tbl_Tasks_Clean[[#This Row],[Planned_Cost]],0)</f>
        <v>0</v>
      </c>
      <c r="Y206" s="22" t="str">
        <f aca="false">IF(AND(tbl_Tasks_Clean[[#This Row],[Status]]="Completed",tbl_Tasks_Clean[[#This Row],[Delay_Days]]&lt;=0),"On Time","Late")</f>
        <v>On Time</v>
      </c>
      <c r="Z206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06" s="22" t="str">
        <f aca="false">INDEX(tbl_Projects[Project_Manager],MATCH(tbl_Tasks_Clean[[#This Row],[Project_ID]],tbl_Projects[Project_ID],0))</f>
        <v>Nourhan Tarek</v>
      </c>
      <c r="AB206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07" customFormat="false" ht="14.25" hidden="false" customHeight="false" outlineLevel="0" collapsed="false">
      <c r="A207" s="22" t="s">
        <v>1032</v>
      </c>
      <c r="B207" s="22" t="s">
        <v>140</v>
      </c>
      <c r="C207" s="22" t="s">
        <v>141</v>
      </c>
      <c r="D207" s="22" t="s">
        <v>1033</v>
      </c>
      <c r="E207" s="22" t="s">
        <v>44</v>
      </c>
      <c r="F207" s="22" t="s">
        <v>71</v>
      </c>
      <c r="G207" s="22" t="s">
        <v>175</v>
      </c>
      <c r="H207" s="22" t="s">
        <v>201</v>
      </c>
      <c r="I207" s="23" t="n">
        <v>45523</v>
      </c>
      <c r="J207" s="23" t="n">
        <v>45553</v>
      </c>
      <c r="K207" s="23"/>
      <c r="L207" s="0" t="n">
        <v>4000</v>
      </c>
      <c r="M207" s="0" t="n">
        <v>0</v>
      </c>
      <c r="N207" s="0" t="n">
        <v>30</v>
      </c>
      <c r="O207" s="0" t="n">
        <v>0</v>
      </c>
      <c r="P207" s="22" t="s">
        <v>118</v>
      </c>
      <c r="Q207" s="22" t="s">
        <v>123</v>
      </c>
      <c r="R207" s="23" t="n">
        <v>45383</v>
      </c>
      <c r="S207" s="0" t="n">
        <v>200000</v>
      </c>
      <c r="T207" s="22" t="s">
        <v>70</v>
      </c>
      <c r="U207" s="22" t="s">
        <v>67</v>
      </c>
      <c r="V207" s="0" t="n">
        <v>180</v>
      </c>
      <c r="W207" s="0" t="n">
        <f aca="false">tbl_Tasks_Clean[[#This Row],[Actual_Cost]]-tbl_Tasks_Clean[[#This Row],[Planned_Cost]]</f>
        <v>-4000</v>
      </c>
      <c r="X207" s="22" t="n">
        <f aca="false">IFERROR(tbl_Tasks_Clean[[#This Row],[Actual_Cost]]/tbl_Tasks_Clean[[#This Row],[Planned_Cost]],0)</f>
        <v>0</v>
      </c>
      <c r="Y207" s="22" t="str">
        <f aca="false">IF(AND(tbl_Tasks_Clean[[#This Row],[Status]]="Completed",tbl_Tasks_Clean[[#This Row],[Delay_Days]]&lt;=0),"On Time","Late")</f>
        <v>Late</v>
      </c>
      <c r="Z207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07" s="22" t="str">
        <f aca="false">INDEX(tbl_Projects[Project_Manager],MATCH(tbl_Tasks_Clean[[#This Row],[Project_ID]],tbl_Projects[Project_ID],0))</f>
        <v>Nourhan Tarek</v>
      </c>
      <c r="AB207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08" customFormat="false" ht="14.25" hidden="false" customHeight="false" outlineLevel="0" collapsed="false">
      <c r="A208" s="22" t="s">
        <v>1034</v>
      </c>
      <c r="B208" s="22" t="s">
        <v>116</v>
      </c>
      <c r="C208" s="22" t="s">
        <v>117</v>
      </c>
      <c r="D208" s="22" t="s">
        <v>1035</v>
      </c>
      <c r="E208" s="22" t="s">
        <v>63</v>
      </c>
      <c r="F208" s="22" t="s">
        <v>20</v>
      </c>
      <c r="G208" s="22" t="s">
        <v>275</v>
      </c>
      <c r="H208" s="22" t="s">
        <v>212</v>
      </c>
      <c r="I208" s="23" t="n">
        <v>45480</v>
      </c>
      <c r="J208" s="23" t="n">
        <v>45484</v>
      </c>
      <c r="K208" s="23"/>
      <c r="L208" s="0" t="n">
        <v>5000</v>
      </c>
      <c r="M208" s="0" t="n">
        <v>3364</v>
      </c>
      <c r="N208" s="0" t="n">
        <v>4</v>
      </c>
      <c r="O208" s="0" t="n">
        <v>0</v>
      </c>
      <c r="P208" s="22" t="s">
        <v>118</v>
      </c>
      <c r="Q208" s="22" t="s">
        <v>106</v>
      </c>
      <c r="R208" s="23" t="n">
        <v>45435</v>
      </c>
      <c r="S208" s="0" t="n">
        <v>120000</v>
      </c>
      <c r="T208" s="22" t="s">
        <v>19</v>
      </c>
      <c r="U208" s="22" t="s">
        <v>22</v>
      </c>
      <c r="V208" s="0" t="n">
        <v>180</v>
      </c>
      <c r="W208" s="0" t="n">
        <f aca="false">tbl_Tasks_Clean[[#This Row],[Actual_Cost]]-tbl_Tasks_Clean[[#This Row],[Planned_Cost]]</f>
        <v>-1636</v>
      </c>
      <c r="X208" s="22" t="n">
        <f aca="false">IFERROR(tbl_Tasks_Clean[[#This Row],[Actual_Cost]]/tbl_Tasks_Clean[[#This Row],[Planned_Cost]],0)</f>
        <v>0.6728</v>
      </c>
      <c r="Y208" s="22" t="str">
        <f aca="false">IF(AND(tbl_Tasks_Clean[[#This Row],[Status]]="Completed",tbl_Tasks_Clean[[#This Row],[Delay_Days]]&lt;=0),"On Time","Late")</f>
        <v>Late</v>
      </c>
      <c r="Z208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208" s="22" t="str">
        <f aca="false">INDEX(tbl_Projects[Project_Manager],MATCH(tbl_Tasks_Clean[[#This Row],[Project_ID]],tbl_Projects[Project_ID],0))</f>
        <v>Laila Samir</v>
      </c>
      <c r="AB208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09" customFormat="false" ht="14.25" hidden="false" customHeight="false" outlineLevel="0" collapsed="false">
      <c r="A209" s="22" t="s">
        <v>1038</v>
      </c>
      <c r="B209" s="22" t="s">
        <v>136</v>
      </c>
      <c r="C209" s="22" t="s">
        <v>137</v>
      </c>
      <c r="D209" s="22" t="s">
        <v>231</v>
      </c>
      <c r="E209" s="22" t="s">
        <v>63</v>
      </c>
      <c r="F209" s="22" t="s">
        <v>62</v>
      </c>
      <c r="G209" s="22" t="s">
        <v>206</v>
      </c>
      <c r="H209" s="22" t="s">
        <v>212</v>
      </c>
      <c r="I209" s="23" t="n">
        <v>45340</v>
      </c>
      <c r="J209" s="23" t="n">
        <v>45364</v>
      </c>
      <c r="K209" s="23"/>
      <c r="L209" s="0" t="n">
        <v>8000</v>
      </c>
      <c r="M209" s="0" t="n">
        <v>2896</v>
      </c>
      <c r="N209" s="0" t="n">
        <v>24</v>
      </c>
      <c r="O209" s="0" t="n">
        <v>0</v>
      </c>
      <c r="P209" s="22" t="s">
        <v>138</v>
      </c>
      <c r="Q209" s="22" t="s">
        <v>101</v>
      </c>
      <c r="R209" s="23" t="n">
        <v>45315</v>
      </c>
      <c r="S209" s="0" t="n">
        <v>250000</v>
      </c>
      <c r="T209" s="22" t="s">
        <v>61</v>
      </c>
      <c r="U209" s="22" t="s">
        <v>64</v>
      </c>
      <c r="V209" s="0" t="n">
        <v>150</v>
      </c>
      <c r="W209" s="0" t="n">
        <f aca="false">tbl_Tasks_Clean[[#This Row],[Actual_Cost]]-tbl_Tasks_Clean[[#This Row],[Planned_Cost]]</f>
        <v>-5104</v>
      </c>
      <c r="X209" s="22" t="n">
        <f aca="false">IFERROR(tbl_Tasks_Clean[[#This Row],[Actual_Cost]]/tbl_Tasks_Clean[[#This Row],[Planned_Cost]],0)</f>
        <v>0.362</v>
      </c>
      <c r="Y209" s="22" t="str">
        <f aca="false">IF(AND(tbl_Tasks_Clean[[#This Row],[Status]]="Completed",tbl_Tasks_Clean[[#This Row],[Delay_Days]]&lt;=0),"On Time","Late")</f>
        <v>Late</v>
      </c>
      <c r="Z209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09" s="22" t="str">
        <f aca="false">INDEX(tbl_Projects[Project_Manager],MATCH(tbl_Tasks_Clean[[#This Row],[Project_ID]],tbl_Projects[Project_ID],0))</f>
        <v>Ahmed Nabil</v>
      </c>
      <c r="AB209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10" customFormat="false" ht="14.25" hidden="false" customHeight="false" outlineLevel="0" collapsed="false">
      <c r="A210" s="22" t="s">
        <v>1040</v>
      </c>
      <c r="B210" s="22" t="s">
        <v>108</v>
      </c>
      <c r="C210" s="22" t="s">
        <v>109</v>
      </c>
      <c r="D210" s="22" t="s">
        <v>1380</v>
      </c>
      <c r="E210" s="22" t="s">
        <v>76</v>
      </c>
      <c r="F210" s="22" t="s">
        <v>71</v>
      </c>
      <c r="G210" s="22" t="s">
        <v>275</v>
      </c>
      <c r="H210" s="22" t="s">
        <v>239</v>
      </c>
      <c r="I210" s="23" t="n">
        <v>45383</v>
      </c>
      <c r="J210" s="23" t="n">
        <v>45407</v>
      </c>
      <c r="K210" s="23" t="n">
        <v>45406</v>
      </c>
      <c r="L210" s="0" t="n">
        <v>3000</v>
      </c>
      <c r="M210" s="0" t="n">
        <v>3036</v>
      </c>
      <c r="N210" s="0" t="n">
        <v>24</v>
      </c>
      <c r="O210" s="0" t="n">
        <v>-1</v>
      </c>
      <c r="P210" s="22" t="s">
        <v>110</v>
      </c>
      <c r="Q210" s="22" t="s">
        <v>101</v>
      </c>
      <c r="R210" s="23" t="n">
        <v>45300</v>
      </c>
      <c r="S210" s="0" t="n">
        <v>50000</v>
      </c>
      <c r="T210" s="22" t="s">
        <v>70</v>
      </c>
      <c r="U210" s="22" t="s">
        <v>67</v>
      </c>
      <c r="V210" s="0" t="n">
        <v>180</v>
      </c>
      <c r="W210" s="0" t="n">
        <f aca="false">tbl_Tasks_Clean[[#This Row],[Actual_Cost]]-tbl_Tasks_Clean[[#This Row],[Planned_Cost]]</f>
        <v>36</v>
      </c>
      <c r="X210" s="22" t="n">
        <f aca="false">IFERROR(tbl_Tasks_Clean[[#This Row],[Actual_Cost]]/tbl_Tasks_Clean[[#This Row],[Planned_Cost]],0)</f>
        <v>1.012</v>
      </c>
      <c r="Y210" s="22" t="str">
        <f aca="false">IF(AND(tbl_Tasks_Clean[[#This Row],[Status]]="Completed",tbl_Tasks_Clean[[#This Row],[Delay_Days]]&lt;=0),"On Time","Late")</f>
        <v>On Time</v>
      </c>
      <c r="Z210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10" s="22" t="str">
        <f aca="false">INDEX(tbl_Projects[Project_Manager],MATCH(tbl_Tasks_Clean[[#This Row],[Project_ID]],tbl_Projects[Project_ID],0))</f>
        <v>Ahmed Nabil</v>
      </c>
      <c r="AB210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11" customFormat="false" ht="14.25" hidden="false" customHeight="false" outlineLevel="0" collapsed="false">
      <c r="A211" s="22" t="s">
        <v>1043</v>
      </c>
      <c r="B211" s="22" t="s">
        <v>133</v>
      </c>
      <c r="C211" s="22" t="s">
        <v>134</v>
      </c>
      <c r="D211" s="22" t="s">
        <v>1044</v>
      </c>
      <c r="E211" s="22" t="s">
        <v>44</v>
      </c>
      <c r="F211" s="22" t="s">
        <v>37</v>
      </c>
      <c r="G211" s="22" t="s">
        <v>206</v>
      </c>
      <c r="H211" s="22" t="s">
        <v>212</v>
      </c>
      <c r="I211" s="23" t="n">
        <v>45414</v>
      </c>
      <c r="J211" s="23" t="n">
        <v>45419</v>
      </c>
      <c r="K211" s="23"/>
      <c r="L211" s="0" t="n">
        <v>8000</v>
      </c>
      <c r="M211" s="0" t="n">
        <v>3460</v>
      </c>
      <c r="N211" s="0" t="n">
        <v>5</v>
      </c>
      <c r="O211" s="0" t="n">
        <v>0</v>
      </c>
      <c r="P211" s="22" t="s">
        <v>135</v>
      </c>
      <c r="Q211" s="22" t="s">
        <v>101</v>
      </c>
      <c r="R211" s="23" t="n">
        <v>45347</v>
      </c>
      <c r="S211" s="0" t="n">
        <v>200000</v>
      </c>
      <c r="T211" s="22" t="s">
        <v>36</v>
      </c>
      <c r="U211" s="22" t="s">
        <v>38</v>
      </c>
      <c r="V211" s="0" t="n">
        <v>280</v>
      </c>
      <c r="W211" s="0" t="n">
        <f aca="false">tbl_Tasks_Clean[[#This Row],[Actual_Cost]]-tbl_Tasks_Clean[[#This Row],[Planned_Cost]]</f>
        <v>-4540</v>
      </c>
      <c r="X211" s="22" t="n">
        <f aca="false">IFERROR(tbl_Tasks_Clean[[#This Row],[Actual_Cost]]/tbl_Tasks_Clean[[#This Row],[Planned_Cost]],0)</f>
        <v>0.4325</v>
      </c>
      <c r="Y211" s="22" t="str">
        <f aca="false">IF(AND(tbl_Tasks_Clean[[#This Row],[Status]]="Completed",tbl_Tasks_Clean[[#This Row],[Delay_Days]]&lt;=0),"On Time","Late")</f>
        <v>Late</v>
      </c>
      <c r="Z211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211" s="22" t="str">
        <f aca="false">INDEX(tbl_Projects[Project_Manager],MATCH(tbl_Tasks_Clean[[#This Row],[Project_ID]],tbl_Projects[Project_ID],0))</f>
        <v>Ahmed Nabil</v>
      </c>
      <c r="AB211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12" customFormat="false" ht="14.25" hidden="false" customHeight="false" outlineLevel="0" collapsed="false">
      <c r="A212" s="22" t="s">
        <v>1047</v>
      </c>
      <c r="B212" s="22" t="s">
        <v>120</v>
      </c>
      <c r="C212" s="22" t="s">
        <v>121</v>
      </c>
      <c r="D212" s="22" t="s">
        <v>1048</v>
      </c>
      <c r="E212" s="22" t="s">
        <v>44</v>
      </c>
      <c r="F212" s="22" t="s">
        <v>79</v>
      </c>
      <c r="G212" s="22" t="s">
        <v>175</v>
      </c>
      <c r="H212" s="22" t="s">
        <v>201</v>
      </c>
      <c r="I212" s="23" t="n">
        <v>45352</v>
      </c>
      <c r="J212" s="23" t="n">
        <v>45371</v>
      </c>
      <c r="K212" s="23"/>
      <c r="L212" s="0" t="n">
        <v>5000</v>
      </c>
      <c r="M212" s="0" t="n">
        <v>0</v>
      </c>
      <c r="N212" s="0" t="n">
        <v>19</v>
      </c>
      <c r="O212" s="0" t="n">
        <v>0</v>
      </c>
      <c r="P212" s="22" t="s">
        <v>122</v>
      </c>
      <c r="Q212" s="22" t="s">
        <v>123</v>
      </c>
      <c r="R212" s="23" t="n">
        <v>45348</v>
      </c>
      <c r="S212" s="0" t="n">
        <v>300000</v>
      </c>
      <c r="T212" s="22" t="s">
        <v>78</v>
      </c>
      <c r="U212" s="22" t="s">
        <v>77</v>
      </c>
      <c r="V212" s="0" t="n">
        <v>250</v>
      </c>
      <c r="W212" s="0" t="n">
        <f aca="false">tbl_Tasks_Clean[[#This Row],[Actual_Cost]]-tbl_Tasks_Clean[[#This Row],[Planned_Cost]]</f>
        <v>-5000</v>
      </c>
      <c r="X212" s="22" t="n">
        <f aca="false">IFERROR(tbl_Tasks_Clean[[#This Row],[Actual_Cost]]/tbl_Tasks_Clean[[#This Row],[Planned_Cost]],0)</f>
        <v>0</v>
      </c>
      <c r="Y212" s="22" t="str">
        <f aca="false">IF(AND(tbl_Tasks_Clean[[#This Row],[Status]]="Completed",tbl_Tasks_Clean[[#This Row],[Delay_Days]]&lt;=0),"On Time","Late")</f>
        <v>Late</v>
      </c>
      <c r="Z212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12" s="22" t="str">
        <f aca="false">INDEX(tbl_Projects[Project_Manager],MATCH(tbl_Tasks_Clean[[#This Row],[Project_ID]],tbl_Projects[Project_ID],0))</f>
        <v>Nourhan Tarek</v>
      </c>
      <c r="AB212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13" customFormat="false" ht="14.25" hidden="false" customHeight="false" outlineLevel="0" collapsed="false">
      <c r="A213" s="22" t="s">
        <v>1050</v>
      </c>
      <c r="B213" s="22" t="s">
        <v>136</v>
      </c>
      <c r="C213" s="22" t="s">
        <v>137</v>
      </c>
      <c r="D213" s="22" t="s">
        <v>1051</v>
      </c>
      <c r="E213" s="22" t="s">
        <v>44</v>
      </c>
      <c r="F213" s="22" t="s">
        <v>40</v>
      </c>
      <c r="G213" s="22" t="s">
        <v>175</v>
      </c>
      <c r="H213" s="22" t="s">
        <v>239</v>
      </c>
      <c r="I213" s="23" t="n">
        <v>45435</v>
      </c>
      <c r="J213" s="23" t="n">
        <v>45444</v>
      </c>
      <c r="K213" s="23" t="n">
        <v>45445</v>
      </c>
      <c r="L213" s="0" t="n">
        <v>1500</v>
      </c>
      <c r="M213" s="0" t="n">
        <v>1961</v>
      </c>
      <c r="N213" s="0" t="n">
        <v>9</v>
      </c>
      <c r="O213" s="0" t="n">
        <v>1</v>
      </c>
      <c r="P213" s="22" t="s">
        <v>138</v>
      </c>
      <c r="Q213" s="22" t="s">
        <v>101</v>
      </c>
      <c r="R213" s="23" t="n">
        <v>45315</v>
      </c>
      <c r="S213" s="0" t="n">
        <v>250000</v>
      </c>
      <c r="T213" s="22" t="s">
        <v>39</v>
      </c>
      <c r="U213" s="22" t="s">
        <v>41</v>
      </c>
      <c r="V213" s="0" t="n">
        <v>220</v>
      </c>
      <c r="W213" s="0" t="n">
        <f aca="false">tbl_Tasks_Clean[[#This Row],[Actual_Cost]]-tbl_Tasks_Clean[[#This Row],[Planned_Cost]]</f>
        <v>461</v>
      </c>
      <c r="X213" s="22" t="n">
        <f aca="false">IFERROR(tbl_Tasks_Clean[[#This Row],[Actual_Cost]]/tbl_Tasks_Clean[[#This Row],[Planned_Cost]],0)</f>
        <v>1.30733333333333</v>
      </c>
      <c r="Y213" s="22" t="str">
        <f aca="false">IF(AND(tbl_Tasks_Clean[[#This Row],[Status]]="Completed",tbl_Tasks_Clean[[#This Row],[Delay_Days]]&lt;=0),"On Time","Late")</f>
        <v>Late</v>
      </c>
      <c r="Z213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13" s="22" t="str">
        <f aca="false">INDEX(tbl_Projects[Project_Manager],MATCH(tbl_Tasks_Clean[[#This Row],[Project_ID]],tbl_Projects[Project_ID],0))</f>
        <v>Ahmed Nabil</v>
      </c>
      <c r="AB213" s="22" t="str">
        <f aca="false">IF(tbl_Tasks_Clean[[#This Row],[Delay_Days]]&gt;0,"Delayed by "&amp;TEXT(DATEDIF(tbl_Tasks_Clean[[#This Row],[Planned_End_Date]],tbl_Tasks_Clean[[#This Row],[Actual_End_Date]],"d"),"0")&amp;" days","No delay")</f>
        <v>Delayed by 1 days</v>
      </c>
    </row>
    <row r="214" customFormat="false" ht="14.25" hidden="false" customHeight="false" outlineLevel="0" collapsed="false">
      <c r="A214" s="22" t="s">
        <v>1055</v>
      </c>
      <c r="B214" s="22" t="s">
        <v>93</v>
      </c>
      <c r="C214" s="22" t="s">
        <v>94</v>
      </c>
      <c r="D214" s="22" t="s">
        <v>1056</v>
      </c>
      <c r="E214" s="22" t="s">
        <v>76</v>
      </c>
      <c r="F214" s="22" t="s">
        <v>81</v>
      </c>
      <c r="G214" s="22" t="s">
        <v>206</v>
      </c>
      <c r="H214" s="22" t="s">
        <v>194</v>
      </c>
      <c r="I214" s="23" t="n">
        <v>45482</v>
      </c>
      <c r="J214" s="23" t="n">
        <v>45496</v>
      </c>
      <c r="K214" s="23" t="n">
        <v>45502</v>
      </c>
      <c r="L214" s="0" t="n">
        <v>5000</v>
      </c>
      <c r="M214" s="0" t="n">
        <v>6487</v>
      </c>
      <c r="N214" s="0" t="n">
        <v>14</v>
      </c>
      <c r="O214" s="0" t="n">
        <v>6</v>
      </c>
      <c r="P214" s="22" t="s">
        <v>95</v>
      </c>
      <c r="Q214" s="22" t="s">
        <v>96</v>
      </c>
      <c r="R214" s="23" t="n">
        <v>45481</v>
      </c>
      <c r="S214" s="0" t="n">
        <v>150000</v>
      </c>
      <c r="T214" s="22" t="s">
        <v>80</v>
      </c>
      <c r="U214" s="22" t="s">
        <v>77</v>
      </c>
      <c r="V214" s="0" t="n">
        <v>200</v>
      </c>
      <c r="W214" s="0" t="n">
        <f aca="false">tbl_Tasks_Clean[[#This Row],[Actual_Cost]]-tbl_Tasks_Clean[[#This Row],[Planned_Cost]]</f>
        <v>1487</v>
      </c>
      <c r="X214" s="22" t="n">
        <f aca="false">IFERROR(tbl_Tasks_Clean[[#This Row],[Actual_Cost]]/tbl_Tasks_Clean[[#This Row],[Planned_Cost]],0)</f>
        <v>1.2974</v>
      </c>
      <c r="Y214" s="22" t="str">
        <f aca="false">IF(AND(tbl_Tasks_Clean[[#This Row],[Status]]="Completed",tbl_Tasks_Clean[[#This Row],[Delay_Days]]&lt;=0),"On Time","Late")</f>
        <v>Late</v>
      </c>
      <c r="Z214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14" s="22" t="str">
        <f aca="false">INDEX(tbl_Projects[Project_Manager],MATCH(tbl_Tasks_Clean[[#This Row],[Project_ID]],tbl_Projects[Project_ID],0))</f>
        <v>Youssef Adel</v>
      </c>
      <c r="AB214" s="22" t="str">
        <f aca="false">IF(tbl_Tasks_Clean[[#This Row],[Delay_Days]]&gt;0,"Delayed by "&amp;TEXT(DATEDIF(tbl_Tasks_Clean[[#This Row],[Planned_End_Date]],tbl_Tasks_Clean[[#This Row],[Actual_End_Date]],"d"),"0")&amp;" days","No delay")</f>
        <v>Delayed by 6 days</v>
      </c>
    </row>
    <row r="215" customFormat="false" ht="14.25" hidden="false" customHeight="false" outlineLevel="0" collapsed="false">
      <c r="A215" s="22" t="s">
        <v>1058</v>
      </c>
      <c r="B215" s="22" t="s">
        <v>98</v>
      </c>
      <c r="C215" s="22" t="s">
        <v>99</v>
      </c>
      <c r="D215" s="22" t="s">
        <v>746</v>
      </c>
      <c r="E215" s="22" t="s">
        <v>44</v>
      </c>
      <c r="F215" s="22" t="s">
        <v>69</v>
      </c>
      <c r="G215" s="22" t="s">
        <v>206</v>
      </c>
      <c r="H215" s="22" t="s">
        <v>194</v>
      </c>
      <c r="I215" s="23" t="n">
        <v>45421</v>
      </c>
      <c r="J215" s="23" t="n">
        <v>45447</v>
      </c>
      <c r="K215" s="23" t="n">
        <v>45453</v>
      </c>
      <c r="L215" s="0" t="n">
        <v>10000</v>
      </c>
      <c r="M215" s="0" t="n">
        <v>11059</v>
      </c>
      <c r="N215" s="0" t="n">
        <v>26</v>
      </c>
      <c r="O215" s="0" t="n">
        <v>6</v>
      </c>
      <c r="P215" s="22" t="s">
        <v>100</v>
      </c>
      <c r="Q215" s="22" t="s">
        <v>101</v>
      </c>
      <c r="R215" s="23" t="n">
        <v>45349</v>
      </c>
      <c r="S215" s="0" t="n">
        <v>100000</v>
      </c>
      <c r="T215" s="22" t="s">
        <v>68</v>
      </c>
      <c r="U215" s="22" t="s">
        <v>67</v>
      </c>
      <c r="V215" s="0" t="n">
        <v>180</v>
      </c>
      <c r="W215" s="0" t="n">
        <f aca="false">tbl_Tasks_Clean[[#This Row],[Actual_Cost]]-tbl_Tasks_Clean[[#This Row],[Planned_Cost]]</f>
        <v>1059</v>
      </c>
      <c r="X215" s="22" t="n">
        <f aca="false">IFERROR(tbl_Tasks_Clean[[#This Row],[Actual_Cost]]/tbl_Tasks_Clean[[#This Row],[Planned_Cost]],0)</f>
        <v>1.1059</v>
      </c>
      <c r="Y215" s="22" t="str">
        <f aca="false">IF(AND(tbl_Tasks_Clean[[#This Row],[Status]]="Completed",tbl_Tasks_Clean[[#This Row],[Delay_Days]]&lt;=0),"On Time","Late")</f>
        <v>Late</v>
      </c>
      <c r="Z215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15" s="22" t="str">
        <f aca="false">INDEX(tbl_Projects[Project_Manager],MATCH(tbl_Tasks_Clean[[#This Row],[Project_ID]],tbl_Projects[Project_ID],0))</f>
        <v>Ahmed Nabil</v>
      </c>
      <c r="AB215" s="22" t="str">
        <f aca="false">IF(tbl_Tasks_Clean[[#This Row],[Delay_Days]]&gt;0,"Delayed by "&amp;TEXT(DATEDIF(tbl_Tasks_Clean[[#This Row],[Planned_End_Date]],tbl_Tasks_Clean[[#This Row],[Actual_End_Date]],"d"),"0")&amp;" days","No delay")</f>
        <v>Delayed by 6 days</v>
      </c>
    </row>
    <row r="216" customFormat="false" ht="14.25" hidden="false" customHeight="false" outlineLevel="0" collapsed="false">
      <c r="A216" s="22" t="s">
        <v>1060</v>
      </c>
      <c r="B216" s="22" t="s">
        <v>93</v>
      </c>
      <c r="C216" s="22" t="s">
        <v>94</v>
      </c>
      <c r="D216" s="22" t="s">
        <v>1061</v>
      </c>
      <c r="E216" s="22" t="s">
        <v>44</v>
      </c>
      <c r="F216" s="22" t="s">
        <v>75</v>
      </c>
      <c r="G216" s="22" t="s">
        <v>206</v>
      </c>
      <c r="H216" s="22" t="s">
        <v>201</v>
      </c>
      <c r="I216" s="23" t="n">
        <v>45597</v>
      </c>
      <c r="J216" s="23" t="n">
        <v>45610</v>
      </c>
      <c r="K216" s="23"/>
      <c r="L216" s="0" t="n">
        <v>4000</v>
      </c>
      <c r="M216" s="0" t="n">
        <v>0</v>
      </c>
      <c r="N216" s="0" t="n">
        <v>13</v>
      </c>
      <c r="O216" s="0" t="n">
        <v>0</v>
      </c>
      <c r="P216" s="22" t="s">
        <v>95</v>
      </c>
      <c r="Q216" s="22" t="s">
        <v>96</v>
      </c>
      <c r="R216" s="23" t="n">
        <v>45481</v>
      </c>
      <c r="S216" s="0" t="n">
        <v>150000</v>
      </c>
      <c r="T216" s="22" t="s">
        <v>74</v>
      </c>
      <c r="U216" s="22" t="s">
        <v>77</v>
      </c>
      <c r="V216" s="0" t="n">
        <v>250</v>
      </c>
      <c r="W216" s="0" t="n">
        <f aca="false">tbl_Tasks_Clean[[#This Row],[Actual_Cost]]-tbl_Tasks_Clean[[#This Row],[Planned_Cost]]</f>
        <v>-4000</v>
      </c>
      <c r="X216" s="22" t="n">
        <f aca="false">IFERROR(tbl_Tasks_Clean[[#This Row],[Actual_Cost]]/tbl_Tasks_Clean[[#This Row],[Planned_Cost]],0)</f>
        <v>0</v>
      </c>
      <c r="Y216" s="22" t="str">
        <f aca="false">IF(AND(tbl_Tasks_Clean[[#This Row],[Status]]="Completed",tbl_Tasks_Clean[[#This Row],[Delay_Days]]&lt;=0),"On Time","Late")</f>
        <v>Late</v>
      </c>
      <c r="Z216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16" s="22" t="str">
        <f aca="false">INDEX(tbl_Projects[Project_Manager],MATCH(tbl_Tasks_Clean[[#This Row],[Project_ID]],tbl_Projects[Project_ID],0))</f>
        <v>Youssef Adel</v>
      </c>
      <c r="AB216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17" customFormat="false" ht="14.25" hidden="false" customHeight="false" outlineLevel="0" collapsed="false">
      <c r="A217" s="22" t="s">
        <v>1063</v>
      </c>
      <c r="B217" s="22" t="s">
        <v>98</v>
      </c>
      <c r="C217" s="22" t="s">
        <v>99</v>
      </c>
      <c r="D217" s="22" t="s">
        <v>569</v>
      </c>
      <c r="E217" s="22" t="s">
        <v>63</v>
      </c>
      <c r="F217" s="22" t="s">
        <v>47</v>
      </c>
      <c r="G217" s="22" t="s">
        <v>275</v>
      </c>
      <c r="H217" s="22" t="s">
        <v>239</v>
      </c>
      <c r="I217" s="23" t="n">
        <v>45374</v>
      </c>
      <c r="J217" s="23" t="n">
        <v>45404</v>
      </c>
      <c r="K217" s="23" t="n">
        <v>45404</v>
      </c>
      <c r="L217" s="0" t="n">
        <v>1500</v>
      </c>
      <c r="M217" s="0" t="n">
        <v>1602</v>
      </c>
      <c r="N217" s="0" t="n">
        <v>30</v>
      </c>
      <c r="O217" s="0" t="n">
        <v>0</v>
      </c>
      <c r="P217" s="22" t="s">
        <v>100</v>
      </c>
      <c r="Q217" s="22" t="s">
        <v>101</v>
      </c>
      <c r="R217" s="23" t="n">
        <v>45349</v>
      </c>
      <c r="S217" s="0" t="n">
        <v>100000</v>
      </c>
      <c r="T217" s="22" t="s">
        <v>46</v>
      </c>
      <c r="U217" s="22" t="s">
        <v>48</v>
      </c>
      <c r="V217" s="0" t="n">
        <v>280</v>
      </c>
      <c r="W217" s="0" t="n">
        <f aca="false">tbl_Tasks_Clean[[#This Row],[Actual_Cost]]-tbl_Tasks_Clean[[#This Row],[Planned_Cost]]</f>
        <v>102</v>
      </c>
      <c r="X217" s="22" t="n">
        <f aca="false">IFERROR(tbl_Tasks_Clean[[#This Row],[Actual_Cost]]/tbl_Tasks_Clean[[#This Row],[Planned_Cost]],0)</f>
        <v>1.068</v>
      </c>
      <c r="Y217" s="22" t="str">
        <f aca="false">IF(AND(tbl_Tasks_Clean[[#This Row],[Status]]="Completed",tbl_Tasks_Clean[[#This Row],[Delay_Days]]&lt;=0),"On Time","Late")</f>
        <v>On Time</v>
      </c>
      <c r="Z217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17" s="22" t="str">
        <f aca="false">INDEX(tbl_Projects[Project_Manager],MATCH(tbl_Tasks_Clean[[#This Row],[Project_ID]],tbl_Projects[Project_ID],0))</f>
        <v>Ahmed Nabil</v>
      </c>
      <c r="AB217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18" customFormat="false" ht="14.25" hidden="false" customHeight="false" outlineLevel="0" collapsed="false">
      <c r="A218" s="22" t="s">
        <v>1064</v>
      </c>
      <c r="B218" s="22" t="s">
        <v>88</v>
      </c>
      <c r="C218" s="22" t="s">
        <v>89</v>
      </c>
      <c r="D218" s="22" t="s">
        <v>934</v>
      </c>
      <c r="E218" s="22" t="s">
        <v>54</v>
      </c>
      <c r="F218" s="22" t="s">
        <v>40</v>
      </c>
      <c r="G218" s="22" t="s">
        <v>175</v>
      </c>
      <c r="H218" s="22" t="s">
        <v>239</v>
      </c>
      <c r="I218" s="23" t="n">
        <v>45521</v>
      </c>
      <c r="J218" s="23" t="n">
        <v>45530</v>
      </c>
      <c r="K218" s="23" t="n">
        <v>45532</v>
      </c>
      <c r="L218" s="0" t="n">
        <v>4000</v>
      </c>
      <c r="M218" s="0" t="n">
        <v>3468</v>
      </c>
      <c r="N218" s="0" t="n">
        <v>9</v>
      </c>
      <c r="O218" s="0" t="n">
        <v>2</v>
      </c>
      <c r="P218" s="22" t="s">
        <v>90</v>
      </c>
      <c r="Q218" s="22" t="s">
        <v>91</v>
      </c>
      <c r="R218" s="23" t="n">
        <v>45455</v>
      </c>
      <c r="S218" s="0" t="n">
        <v>75000</v>
      </c>
      <c r="T218" s="22" t="s">
        <v>39</v>
      </c>
      <c r="U218" s="22" t="s">
        <v>41</v>
      </c>
      <c r="V218" s="0" t="n">
        <v>220</v>
      </c>
      <c r="W218" s="0" t="n">
        <f aca="false">tbl_Tasks_Clean[[#This Row],[Actual_Cost]]-tbl_Tasks_Clean[[#This Row],[Planned_Cost]]</f>
        <v>-532</v>
      </c>
      <c r="X218" s="22" t="n">
        <f aca="false">IFERROR(tbl_Tasks_Clean[[#This Row],[Actual_Cost]]/tbl_Tasks_Clean[[#This Row],[Planned_Cost]],0)</f>
        <v>0.867</v>
      </c>
      <c r="Y218" s="22" t="str">
        <f aca="false">IF(AND(tbl_Tasks_Clean[[#This Row],[Status]]="Completed",tbl_Tasks_Clean[[#This Row],[Delay_Days]]&lt;=0),"On Time","Late")</f>
        <v>Late</v>
      </c>
      <c r="Z218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18" s="22" t="str">
        <f aca="false">INDEX(tbl_Projects[Project_Manager],MATCH(tbl_Tasks_Clean[[#This Row],[Project_ID]],tbl_Projects[Project_ID],0))</f>
        <v>Mona Farid</v>
      </c>
      <c r="AB218" s="22" t="str">
        <f aca="false">IF(tbl_Tasks_Clean[[#This Row],[Delay_Days]]&gt;0,"Delayed by "&amp;TEXT(DATEDIF(tbl_Tasks_Clean[[#This Row],[Planned_End_Date]],tbl_Tasks_Clean[[#This Row],[Actual_End_Date]],"d"),"0")&amp;" days","No delay")</f>
        <v>Delayed by 2 days</v>
      </c>
    </row>
    <row r="219" customFormat="false" ht="14.25" hidden="false" customHeight="false" outlineLevel="0" collapsed="false">
      <c r="A219" s="22" t="s">
        <v>1068</v>
      </c>
      <c r="B219" s="22" t="s">
        <v>133</v>
      </c>
      <c r="C219" s="22" t="s">
        <v>134</v>
      </c>
      <c r="D219" s="22" t="s">
        <v>1019</v>
      </c>
      <c r="E219" s="22" t="s">
        <v>76</v>
      </c>
      <c r="F219" s="22" t="s">
        <v>53</v>
      </c>
      <c r="G219" s="22" t="s">
        <v>275</v>
      </c>
      <c r="H219" s="22" t="s">
        <v>212</v>
      </c>
      <c r="I219" s="23" t="n">
        <v>45397</v>
      </c>
      <c r="J219" s="23" t="n">
        <v>45408</v>
      </c>
      <c r="K219" s="23"/>
      <c r="L219" s="0" t="n">
        <v>4000</v>
      </c>
      <c r="M219" s="0" t="n">
        <v>2776</v>
      </c>
      <c r="N219" s="0" t="n">
        <v>11</v>
      </c>
      <c r="O219" s="0" t="n">
        <v>0</v>
      </c>
      <c r="P219" s="22" t="s">
        <v>135</v>
      </c>
      <c r="Q219" s="22" t="s">
        <v>101</v>
      </c>
      <c r="R219" s="23" t="n">
        <v>45347</v>
      </c>
      <c r="S219" s="0" t="n">
        <v>200000</v>
      </c>
      <c r="T219" s="22" t="s">
        <v>52</v>
      </c>
      <c r="U219" s="22" t="s">
        <v>55</v>
      </c>
      <c r="V219" s="0" t="n">
        <v>180</v>
      </c>
      <c r="W219" s="0" t="n">
        <f aca="false">tbl_Tasks_Clean[[#This Row],[Actual_Cost]]-tbl_Tasks_Clean[[#This Row],[Planned_Cost]]</f>
        <v>-1224</v>
      </c>
      <c r="X219" s="22" t="n">
        <f aca="false">IFERROR(tbl_Tasks_Clean[[#This Row],[Actual_Cost]]/tbl_Tasks_Clean[[#This Row],[Planned_Cost]],0)</f>
        <v>0.694</v>
      </c>
      <c r="Y219" s="22" t="str">
        <f aca="false">IF(AND(tbl_Tasks_Clean[[#This Row],[Status]]="Completed",tbl_Tasks_Clean[[#This Row],[Delay_Days]]&lt;=0),"On Time","Late")</f>
        <v>Late</v>
      </c>
      <c r="Z219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19" s="22" t="str">
        <f aca="false">INDEX(tbl_Projects[Project_Manager],MATCH(tbl_Tasks_Clean[[#This Row],[Project_ID]],tbl_Projects[Project_ID],0))</f>
        <v>Ahmed Nabil</v>
      </c>
      <c r="AB219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20" customFormat="false" ht="14.25" hidden="false" customHeight="false" outlineLevel="0" collapsed="false">
      <c r="A220" s="22" t="s">
        <v>1070</v>
      </c>
      <c r="B220" s="22" t="s">
        <v>147</v>
      </c>
      <c r="C220" s="22" t="s">
        <v>148</v>
      </c>
      <c r="D220" s="22" t="s">
        <v>1003</v>
      </c>
      <c r="E220" s="22" t="s">
        <v>21</v>
      </c>
      <c r="F220" s="22" t="s">
        <v>43</v>
      </c>
      <c r="G220" s="22" t="s">
        <v>175</v>
      </c>
      <c r="H220" s="22" t="s">
        <v>239</v>
      </c>
      <c r="I220" s="23" t="n">
        <v>45460</v>
      </c>
      <c r="J220" s="23" t="n">
        <v>45483</v>
      </c>
      <c r="K220" s="23" t="n">
        <v>45485</v>
      </c>
      <c r="L220" s="0" t="n">
        <v>8000</v>
      </c>
      <c r="M220" s="0" t="n">
        <v>10129</v>
      </c>
      <c r="N220" s="0" t="n">
        <v>23</v>
      </c>
      <c r="O220" s="0" t="n">
        <v>2</v>
      </c>
      <c r="P220" s="22" t="s">
        <v>118</v>
      </c>
      <c r="Q220" s="22" t="s">
        <v>123</v>
      </c>
      <c r="R220" s="23" t="n">
        <v>45388</v>
      </c>
      <c r="S220" s="0" t="n">
        <v>75000</v>
      </c>
      <c r="T220" s="22" t="s">
        <v>42</v>
      </c>
      <c r="U220" s="22" t="s">
        <v>45</v>
      </c>
      <c r="V220" s="0" t="n">
        <v>220</v>
      </c>
      <c r="W220" s="0" t="n">
        <f aca="false">tbl_Tasks_Clean[[#This Row],[Actual_Cost]]-tbl_Tasks_Clean[[#This Row],[Planned_Cost]]</f>
        <v>2129</v>
      </c>
      <c r="X220" s="22" t="n">
        <f aca="false">IFERROR(tbl_Tasks_Clean[[#This Row],[Actual_Cost]]/tbl_Tasks_Clean[[#This Row],[Planned_Cost]],0)</f>
        <v>1.266125</v>
      </c>
      <c r="Y220" s="22" t="str">
        <f aca="false">IF(AND(tbl_Tasks_Clean[[#This Row],[Status]]="Completed",tbl_Tasks_Clean[[#This Row],[Delay_Days]]&lt;=0),"On Time","Late")</f>
        <v>Late</v>
      </c>
      <c r="Z220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20" s="22" t="str">
        <f aca="false">INDEX(tbl_Projects[Project_Manager],MATCH(tbl_Tasks_Clean[[#This Row],[Project_ID]],tbl_Projects[Project_ID],0))</f>
        <v>Nourhan Tarek</v>
      </c>
      <c r="AB220" s="22" t="str">
        <f aca="false">IF(tbl_Tasks_Clean[[#This Row],[Delay_Days]]&gt;0,"Delayed by "&amp;TEXT(DATEDIF(tbl_Tasks_Clean[[#This Row],[Planned_End_Date]],tbl_Tasks_Clean[[#This Row],[Actual_End_Date]],"d"),"0")&amp;" days","No delay")</f>
        <v>Delayed by 2 days</v>
      </c>
    </row>
    <row r="221" customFormat="false" ht="14.25" hidden="false" customHeight="false" outlineLevel="0" collapsed="false">
      <c r="A221" s="22" t="s">
        <v>1072</v>
      </c>
      <c r="B221" s="22" t="s">
        <v>93</v>
      </c>
      <c r="C221" s="22" t="s">
        <v>94</v>
      </c>
      <c r="D221" s="22" t="s">
        <v>1073</v>
      </c>
      <c r="E221" s="22" t="s">
        <v>7</v>
      </c>
      <c r="F221" s="22" t="s">
        <v>62</v>
      </c>
      <c r="G221" s="22" t="s">
        <v>206</v>
      </c>
      <c r="H221" s="22" t="s">
        <v>194</v>
      </c>
      <c r="I221" s="23" t="n">
        <v>45571</v>
      </c>
      <c r="J221" s="23" t="n">
        <v>45599</v>
      </c>
      <c r="K221" s="23" t="n">
        <v>45604</v>
      </c>
      <c r="L221" s="0" t="n">
        <v>4000</v>
      </c>
      <c r="M221" s="0" t="n">
        <v>3583</v>
      </c>
      <c r="N221" s="0" t="n">
        <v>28</v>
      </c>
      <c r="O221" s="0" t="n">
        <v>5</v>
      </c>
      <c r="P221" s="22" t="s">
        <v>95</v>
      </c>
      <c r="Q221" s="22" t="s">
        <v>96</v>
      </c>
      <c r="R221" s="23" t="n">
        <v>45481</v>
      </c>
      <c r="S221" s="0" t="n">
        <v>150000</v>
      </c>
      <c r="T221" s="22" t="s">
        <v>61</v>
      </c>
      <c r="U221" s="22" t="s">
        <v>64</v>
      </c>
      <c r="V221" s="0" t="n">
        <v>150</v>
      </c>
      <c r="W221" s="0" t="n">
        <f aca="false">tbl_Tasks_Clean[[#This Row],[Actual_Cost]]-tbl_Tasks_Clean[[#This Row],[Planned_Cost]]</f>
        <v>-417</v>
      </c>
      <c r="X221" s="22" t="n">
        <f aca="false">IFERROR(tbl_Tasks_Clean[[#This Row],[Actual_Cost]]/tbl_Tasks_Clean[[#This Row],[Planned_Cost]],0)</f>
        <v>0.89575</v>
      </c>
      <c r="Y221" s="22" t="str">
        <f aca="false">IF(AND(tbl_Tasks_Clean[[#This Row],[Status]]="Completed",tbl_Tasks_Clean[[#This Row],[Delay_Days]]&lt;=0),"On Time","Late")</f>
        <v>Late</v>
      </c>
      <c r="Z221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21" s="22" t="str">
        <f aca="false">INDEX(tbl_Projects[Project_Manager],MATCH(tbl_Tasks_Clean[[#This Row],[Project_ID]],tbl_Projects[Project_ID],0))</f>
        <v>Youssef Adel</v>
      </c>
      <c r="AB221" s="22" t="str">
        <f aca="false">IF(tbl_Tasks_Clean[[#This Row],[Delay_Days]]&gt;0,"Delayed by "&amp;TEXT(DATEDIF(tbl_Tasks_Clean[[#This Row],[Planned_End_Date]],tbl_Tasks_Clean[[#This Row],[Actual_End_Date]],"d"),"0")&amp;" days","No delay")</f>
        <v>Delayed by 5 days</v>
      </c>
    </row>
    <row r="222" customFormat="false" ht="14.25" hidden="false" customHeight="false" outlineLevel="0" collapsed="false">
      <c r="A222" s="22" t="s">
        <v>1076</v>
      </c>
      <c r="B222" s="22" t="s">
        <v>133</v>
      </c>
      <c r="C222" s="22" t="s">
        <v>134</v>
      </c>
      <c r="D222" s="22" t="s">
        <v>1077</v>
      </c>
      <c r="E222" s="22" t="s">
        <v>44</v>
      </c>
      <c r="F222" s="22" t="s">
        <v>15</v>
      </c>
      <c r="G222" s="22" t="s">
        <v>275</v>
      </c>
      <c r="H222" s="22" t="s">
        <v>212</v>
      </c>
      <c r="I222" s="23" t="n">
        <v>45369</v>
      </c>
      <c r="J222" s="23" t="n">
        <v>45381</v>
      </c>
      <c r="K222" s="23"/>
      <c r="L222" s="0" t="n">
        <v>10000</v>
      </c>
      <c r="M222" s="0" t="n">
        <v>4882</v>
      </c>
      <c r="N222" s="0" t="n">
        <v>12</v>
      </c>
      <c r="O222" s="0" t="n">
        <v>0</v>
      </c>
      <c r="P222" s="22" t="s">
        <v>135</v>
      </c>
      <c r="Q222" s="22" t="s">
        <v>101</v>
      </c>
      <c r="R222" s="23" t="n">
        <v>45347</v>
      </c>
      <c r="S222" s="0" t="n">
        <v>200000</v>
      </c>
      <c r="T222" s="22" t="s">
        <v>14</v>
      </c>
      <c r="U222" s="22" t="s">
        <v>16</v>
      </c>
      <c r="V222" s="0" t="n">
        <v>180</v>
      </c>
      <c r="W222" s="0" t="n">
        <f aca="false">tbl_Tasks_Clean[[#This Row],[Actual_Cost]]-tbl_Tasks_Clean[[#This Row],[Planned_Cost]]</f>
        <v>-5118</v>
      </c>
      <c r="X222" s="22" t="n">
        <f aca="false">IFERROR(tbl_Tasks_Clean[[#This Row],[Actual_Cost]]/tbl_Tasks_Clean[[#This Row],[Planned_Cost]],0)</f>
        <v>0.4882</v>
      </c>
      <c r="Y222" s="22" t="str">
        <f aca="false">IF(AND(tbl_Tasks_Clean[[#This Row],[Status]]="Completed",tbl_Tasks_Clean[[#This Row],[Delay_Days]]&lt;=0),"On Time","Late")</f>
        <v>Late</v>
      </c>
      <c r="Z222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22" s="22" t="str">
        <f aca="false">INDEX(tbl_Projects[Project_Manager],MATCH(tbl_Tasks_Clean[[#This Row],[Project_ID]],tbl_Projects[Project_ID],0))</f>
        <v>Ahmed Nabil</v>
      </c>
      <c r="AB222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23" customFormat="false" ht="14.25" hidden="false" customHeight="false" outlineLevel="0" collapsed="false">
      <c r="A223" s="22" t="s">
        <v>1080</v>
      </c>
      <c r="B223" s="22" t="s">
        <v>88</v>
      </c>
      <c r="C223" s="22" t="s">
        <v>89</v>
      </c>
      <c r="D223" s="22" t="s">
        <v>1035</v>
      </c>
      <c r="E223" s="22" t="s">
        <v>34</v>
      </c>
      <c r="F223" s="22" t="s">
        <v>81</v>
      </c>
      <c r="G223" s="22" t="s">
        <v>175</v>
      </c>
      <c r="H223" s="22" t="s">
        <v>239</v>
      </c>
      <c r="I223" s="23" t="n">
        <v>45519</v>
      </c>
      <c r="J223" s="23" t="n">
        <v>45549</v>
      </c>
      <c r="K223" s="23" t="n">
        <v>45546</v>
      </c>
      <c r="L223" s="0" t="n">
        <v>1500</v>
      </c>
      <c r="M223" s="0" t="n">
        <v>1716</v>
      </c>
      <c r="N223" s="0" t="n">
        <v>30</v>
      </c>
      <c r="O223" s="0" t="n">
        <v>-3</v>
      </c>
      <c r="P223" s="22" t="s">
        <v>90</v>
      </c>
      <c r="Q223" s="22" t="s">
        <v>91</v>
      </c>
      <c r="R223" s="23" t="n">
        <v>45455</v>
      </c>
      <c r="S223" s="0" t="n">
        <v>75000</v>
      </c>
      <c r="T223" s="22" t="s">
        <v>80</v>
      </c>
      <c r="U223" s="22" t="s">
        <v>77</v>
      </c>
      <c r="V223" s="0" t="n">
        <v>200</v>
      </c>
      <c r="W223" s="0" t="n">
        <f aca="false">tbl_Tasks_Clean[[#This Row],[Actual_Cost]]-tbl_Tasks_Clean[[#This Row],[Planned_Cost]]</f>
        <v>216</v>
      </c>
      <c r="X223" s="22" t="n">
        <f aca="false">IFERROR(tbl_Tasks_Clean[[#This Row],[Actual_Cost]]/tbl_Tasks_Clean[[#This Row],[Planned_Cost]],0)</f>
        <v>1.144</v>
      </c>
      <c r="Y223" s="22" t="str">
        <f aca="false">IF(AND(tbl_Tasks_Clean[[#This Row],[Status]]="Completed",tbl_Tasks_Clean[[#This Row],[Delay_Days]]&lt;=0),"On Time","Late")</f>
        <v>On Time</v>
      </c>
      <c r="Z223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23" s="22" t="str">
        <f aca="false">INDEX(tbl_Projects[Project_Manager],MATCH(tbl_Tasks_Clean[[#This Row],[Project_ID]],tbl_Projects[Project_ID],0))</f>
        <v>Mona Farid</v>
      </c>
      <c r="AB223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24" customFormat="false" ht="14.25" hidden="false" customHeight="false" outlineLevel="0" collapsed="false">
      <c r="A224" s="22" t="s">
        <v>1083</v>
      </c>
      <c r="B224" s="22" t="s">
        <v>88</v>
      </c>
      <c r="C224" s="22" t="s">
        <v>89</v>
      </c>
      <c r="D224" s="22" t="s">
        <v>1084</v>
      </c>
      <c r="E224" s="22" t="s">
        <v>54</v>
      </c>
      <c r="F224" s="22" t="s">
        <v>33</v>
      </c>
      <c r="G224" s="22" t="s">
        <v>1372</v>
      </c>
      <c r="H224" s="22" t="s">
        <v>212</v>
      </c>
      <c r="I224" s="23" t="n">
        <v>45548</v>
      </c>
      <c r="J224" s="23" t="n">
        <v>45564</v>
      </c>
      <c r="K224" s="23"/>
      <c r="L224" s="0" t="n">
        <v>1500</v>
      </c>
      <c r="M224" s="0" t="n">
        <v>1154</v>
      </c>
      <c r="N224" s="0" t="n">
        <v>16</v>
      </c>
      <c r="O224" s="0" t="n">
        <v>0</v>
      </c>
      <c r="P224" s="22" t="s">
        <v>90</v>
      </c>
      <c r="Q224" s="22" t="s">
        <v>91</v>
      </c>
      <c r="R224" s="23" t="n">
        <v>45455</v>
      </c>
      <c r="S224" s="0" t="n">
        <v>75000</v>
      </c>
      <c r="T224" s="22" t="s">
        <v>32</v>
      </c>
      <c r="U224" s="22" t="s">
        <v>35</v>
      </c>
      <c r="V224" s="0" t="n">
        <v>250</v>
      </c>
      <c r="W224" s="0" t="n">
        <f aca="false">tbl_Tasks_Clean[[#This Row],[Actual_Cost]]-tbl_Tasks_Clean[[#This Row],[Planned_Cost]]</f>
        <v>-346</v>
      </c>
      <c r="X224" s="22" t="n">
        <f aca="false">IFERROR(tbl_Tasks_Clean[[#This Row],[Actual_Cost]]/tbl_Tasks_Clean[[#This Row],[Planned_Cost]],0)</f>
        <v>0.769333333333333</v>
      </c>
      <c r="Y224" s="22" t="str">
        <f aca="false">IF(AND(tbl_Tasks_Clean[[#This Row],[Status]]="Completed",tbl_Tasks_Clean[[#This Row],[Delay_Days]]&lt;=0),"On Time","Late")</f>
        <v>Late</v>
      </c>
      <c r="Z224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24" s="22" t="str">
        <f aca="false">INDEX(tbl_Projects[Project_Manager],MATCH(tbl_Tasks_Clean[[#This Row],[Project_ID]],tbl_Projects[Project_ID],0))</f>
        <v>Mona Farid</v>
      </c>
      <c r="AB224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25" customFormat="false" ht="14.25" hidden="false" customHeight="false" outlineLevel="0" collapsed="false">
      <c r="A225" s="22" t="s">
        <v>1087</v>
      </c>
      <c r="B225" s="22" t="s">
        <v>125</v>
      </c>
      <c r="C225" s="22" t="s">
        <v>126</v>
      </c>
      <c r="D225" s="22" t="s">
        <v>1015</v>
      </c>
      <c r="E225" s="22" t="s">
        <v>63</v>
      </c>
      <c r="F225" s="22" t="s">
        <v>47</v>
      </c>
      <c r="G225" s="22" t="s">
        <v>175</v>
      </c>
      <c r="H225" s="22" t="s">
        <v>194</v>
      </c>
      <c r="I225" s="23" t="n">
        <v>45418</v>
      </c>
      <c r="J225" s="23" t="n">
        <v>45430</v>
      </c>
      <c r="K225" s="23" t="n">
        <v>45431</v>
      </c>
      <c r="L225" s="0" t="n">
        <v>2000</v>
      </c>
      <c r="M225" s="0" t="n">
        <v>1840</v>
      </c>
      <c r="N225" s="0" t="n">
        <v>12</v>
      </c>
      <c r="O225" s="0" t="n">
        <v>1</v>
      </c>
      <c r="P225" s="22" t="s">
        <v>127</v>
      </c>
      <c r="Q225" s="22" t="s">
        <v>106</v>
      </c>
      <c r="R225" s="23" t="n">
        <v>45293</v>
      </c>
      <c r="S225" s="0" t="n">
        <v>100000</v>
      </c>
      <c r="T225" s="22" t="s">
        <v>46</v>
      </c>
      <c r="U225" s="22" t="s">
        <v>48</v>
      </c>
      <c r="V225" s="0" t="n">
        <v>280</v>
      </c>
      <c r="W225" s="0" t="n">
        <f aca="false">tbl_Tasks_Clean[[#This Row],[Actual_Cost]]-tbl_Tasks_Clean[[#This Row],[Planned_Cost]]</f>
        <v>-160</v>
      </c>
      <c r="X225" s="22" t="n">
        <f aca="false">IFERROR(tbl_Tasks_Clean[[#This Row],[Actual_Cost]]/tbl_Tasks_Clean[[#This Row],[Planned_Cost]],0)</f>
        <v>0.92</v>
      </c>
      <c r="Y225" s="22" t="str">
        <f aca="false">IF(AND(tbl_Tasks_Clean[[#This Row],[Status]]="Completed",tbl_Tasks_Clean[[#This Row],[Delay_Days]]&lt;=0),"On Time","Late")</f>
        <v>Late</v>
      </c>
      <c r="Z225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25" s="22" t="str">
        <f aca="false">INDEX(tbl_Projects[Project_Manager],MATCH(tbl_Tasks_Clean[[#This Row],[Project_ID]],tbl_Projects[Project_ID],0))</f>
        <v>Laila Samir</v>
      </c>
      <c r="AB225" s="22" t="str">
        <f aca="false">IF(tbl_Tasks_Clean[[#This Row],[Delay_Days]]&gt;0,"Delayed by "&amp;TEXT(DATEDIF(tbl_Tasks_Clean[[#This Row],[Planned_End_Date]],tbl_Tasks_Clean[[#This Row],[Actual_End_Date]],"d"),"0")&amp;" days","No delay")</f>
        <v>Delayed by 1 days</v>
      </c>
    </row>
    <row r="226" customFormat="false" ht="14.25" hidden="false" customHeight="false" outlineLevel="0" collapsed="false">
      <c r="A226" s="22" t="s">
        <v>1090</v>
      </c>
      <c r="B226" s="22" t="s">
        <v>116</v>
      </c>
      <c r="C226" s="22" t="s">
        <v>117</v>
      </c>
      <c r="D226" s="22" t="s">
        <v>983</v>
      </c>
      <c r="E226" s="22" t="s">
        <v>76</v>
      </c>
      <c r="F226" s="22" t="s">
        <v>10</v>
      </c>
      <c r="G226" s="22" t="s">
        <v>275</v>
      </c>
      <c r="H226" s="22" t="s">
        <v>239</v>
      </c>
      <c r="I226" s="23" t="n">
        <v>45543</v>
      </c>
      <c r="J226" s="23" t="n">
        <v>45557</v>
      </c>
      <c r="K226" s="23" t="n">
        <v>45559</v>
      </c>
      <c r="L226" s="0" t="n">
        <v>1500</v>
      </c>
      <c r="M226" s="0" t="n">
        <v>1618</v>
      </c>
      <c r="N226" s="0" t="n">
        <v>14</v>
      </c>
      <c r="O226" s="0" t="n">
        <v>2</v>
      </c>
      <c r="P226" s="22" t="s">
        <v>118</v>
      </c>
      <c r="Q226" s="22" t="s">
        <v>106</v>
      </c>
      <c r="R226" s="23" t="n">
        <v>45435</v>
      </c>
      <c r="S226" s="0" t="n">
        <v>120000</v>
      </c>
      <c r="T226" s="22" t="s">
        <v>9</v>
      </c>
      <c r="U226" s="22" t="s">
        <v>8</v>
      </c>
      <c r="V226" s="0" t="n">
        <v>220</v>
      </c>
      <c r="W226" s="0" t="n">
        <f aca="false">tbl_Tasks_Clean[[#This Row],[Actual_Cost]]-tbl_Tasks_Clean[[#This Row],[Planned_Cost]]</f>
        <v>118</v>
      </c>
      <c r="X226" s="22" t="n">
        <f aca="false">IFERROR(tbl_Tasks_Clean[[#This Row],[Actual_Cost]]/tbl_Tasks_Clean[[#This Row],[Planned_Cost]],0)</f>
        <v>1.07866666666667</v>
      </c>
      <c r="Y226" s="22" t="str">
        <f aca="false">IF(AND(tbl_Tasks_Clean[[#This Row],[Status]]="Completed",tbl_Tasks_Clean[[#This Row],[Delay_Days]]&lt;=0),"On Time","Late")</f>
        <v>Late</v>
      </c>
      <c r="Z226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26" s="22" t="str">
        <f aca="false">INDEX(tbl_Projects[Project_Manager],MATCH(tbl_Tasks_Clean[[#This Row],[Project_ID]],tbl_Projects[Project_ID],0))</f>
        <v>Laila Samir</v>
      </c>
      <c r="AB226" s="22" t="str">
        <f aca="false">IF(tbl_Tasks_Clean[[#This Row],[Delay_Days]]&gt;0,"Delayed by "&amp;TEXT(DATEDIF(tbl_Tasks_Clean[[#This Row],[Planned_End_Date]],tbl_Tasks_Clean[[#This Row],[Actual_End_Date]],"d"),"0")&amp;" days","No delay")</f>
        <v>Delayed by 2 days</v>
      </c>
    </row>
    <row r="227" customFormat="false" ht="14.25" hidden="false" customHeight="false" outlineLevel="0" collapsed="false">
      <c r="A227" s="22" t="s">
        <v>1093</v>
      </c>
      <c r="B227" s="22" t="s">
        <v>93</v>
      </c>
      <c r="C227" s="22" t="s">
        <v>94</v>
      </c>
      <c r="D227" s="22" t="s">
        <v>1094</v>
      </c>
      <c r="E227" s="22" t="s">
        <v>21</v>
      </c>
      <c r="F227" s="22" t="s">
        <v>47</v>
      </c>
      <c r="G227" s="22" t="s">
        <v>175</v>
      </c>
      <c r="H227" s="22" t="s">
        <v>212</v>
      </c>
      <c r="I227" s="23" t="n">
        <v>45497</v>
      </c>
      <c r="J227" s="23" t="n">
        <v>45513</v>
      </c>
      <c r="K227" s="23"/>
      <c r="L227" s="0" t="n">
        <v>5000</v>
      </c>
      <c r="M227" s="0" t="n">
        <v>1993</v>
      </c>
      <c r="N227" s="0" t="n">
        <v>16</v>
      </c>
      <c r="O227" s="0" t="n">
        <v>0</v>
      </c>
      <c r="P227" s="22" t="s">
        <v>95</v>
      </c>
      <c r="Q227" s="22" t="s">
        <v>96</v>
      </c>
      <c r="R227" s="23" t="n">
        <v>45481</v>
      </c>
      <c r="S227" s="0" t="n">
        <v>150000</v>
      </c>
      <c r="T227" s="22" t="s">
        <v>46</v>
      </c>
      <c r="U227" s="22" t="s">
        <v>48</v>
      </c>
      <c r="V227" s="0" t="n">
        <v>280</v>
      </c>
      <c r="W227" s="0" t="n">
        <f aca="false">tbl_Tasks_Clean[[#This Row],[Actual_Cost]]-tbl_Tasks_Clean[[#This Row],[Planned_Cost]]</f>
        <v>-3007</v>
      </c>
      <c r="X227" s="22" t="n">
        <f aca="false">IFERROR(tbl_Tasks_Clean[[#This Row],[Actual_Cost]]/tbl_Tasks_Clean[[#This Row],[Planned_Cost]],0)</f>
        <v>0.3986</v>
      </c>
      <c r="Y227" s="22" t="str">
        <f aca="false">IF(AND(tbl_Tasks_Clean[[#This Row],[Status]]="Completed",tbl_Tasks_Clean[[#This Row],[Delay_Days]]&lt;=0),"On Time","Late")</f>
        <v>Late</v>
      </c>
      <c r="Z227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27" s="22" t="str">
        <f aca="false">INDEX(tbl_Projects[Project_Manager],MATCH(tbl_Tasks_Clean[[#This Row],[Project_ID]],tbl_Projects[Project_ID],0))</f>
        <v>Youssef Adel</v>
      </c>
      <c r="AB227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28" customFormat="false" ht="14.25" hidden="false" customHeight="false" outlineLevel="0" collapsed="false">
      <c r="A228" s="22" t="s">
        <v>1096</v>
      </c>
      <c r="B228" s="22" t="s">
        <v>136</v>
      </c>
      <c r="C228" s="22" t="s">
        <v>137</v>
      </c>
      <c r="D228" s="22" t="s">
        <v>1097</v>
      </c>
      <c r="E228" s="22" t="s">
        <v>76</v>
      </c>
      <c r="F228" s="22" t="s">
        <v>69</v>
      </c>
      <c r="G228" s="22" t="s">
        <v>175</v>
      </c>
      <c r="H228" s="22" t="s">
        <v>194</v>
      </c>
      <c r="I228" s="23" t="n">
        <v>45425</v>
      </c>
      <c r="J228" s="23" t="n">
        <v>45449</v>
      </c>
      <c r="K228" s="23" t="n">
        <v>45453</v>
      </c>
      <c r="L228" s="0" t="n">
        <v>6000</v>
      </c>
      <c r="M228" s="0" t="n">
        <v>5652</v>
      </c>
      <c r="N228" s="0" t="n">
        <v>24</v>
      </c>
      <c r="O228" s="0" t="n">
        <v>4</v>
      </c>
      <c r="P228" s="22" t="s">
        <v>138</v>
      </c>
      <c r="Q228" s="22" t="s">
        <v>101</v>
      </c>
      <c r="R228" s="23" t="n">
        <v>45315</v>
      </c>
      <c r="S228" s="0" t="n">
        <v>250000</v>
      </c>
      <c r="T228" s="22" t="s">
        <v>68</v>
      </c>
      <c r="U228" s="22" t="s">
        <v>67</v>
      </c>
      <c r="V228" s="0" t="n">
        <v>180</v>
      </c>
      <c r="W228" s="0" t="n">
        <f aca="false">tbl_Tasks_Clean[[#This Row],[Actual_Cost]]-tbl_Tasks_Clean[[#This Row],[Planned_Cost]]</f>
        <v>-348</v>
      </c>
      <c r="X228" s="22" t="n">
        <f aca="false">IFERROR(tbl_Tasks_Clean[[#This Row],[Actual_Cost]]/tbl_Tasks_Clean[[#This Row],[Planned_Cost]],0)</f>
        <v>0.942</v>
      </c>
      <c r="Y228" s="22" t="str">
        <f aca="false">IF(AND(tbl_Tasks_Clean[[#This Row],[Status]]="Completed",tbl_Tasks_Clean[[#This Row],[Delay_Days]]&lt;=0),"On Time","Late")</f>
        <v>Late</v>
      </c>
      <c r="Z228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28" s="22" t="str">
        <f aca="false">INDEX(tbl_Projects[Project_Manager],MATCH(tbl_Tasks_Clean[[#This Row],[Project_ID]],tbl_Projects[Project_ID],0))</f>
        <v>Ahmed Nabil</v>
      </c>
      <c r="AB228" s="22" t="str">
        <f aca="false">IF(tbl_Tasks_Clean[[#This Row],[Delay_Days]]&gt;0,"Delayed by "&amp;TEXT(DATEDIF(tbl_Tasks_Clean[[#This Row],[Planned_End_Date]],tbl_Tasks_Clean[[#This Row],[Actual_End_Date]],"d"),"0")&amp;" days","No delay")</f>
        <v>Delayed by 4 days</v>
      </c>
    </row>
    <row r="229" customFormat="false" ht="14.25" hidden="false" customHeight="false" outlineLevel="0" collapsed="false">
      <c r="A229" s="22" t="s">
        <v>1100</v>
      </c>
      <c r="B229" s="22" t="s">
        <v>140</v>
      </c>
      <c r="C229" s="22" t="s">
        <v>141</v>
      </c>
      <c r="D229" s="22" t="s">
        <v>941</v>
      </c>
      <c r="E229" s="22" t="s">
        <v>76</v>
      </c>
      <c r="F229" s="22" t="s">
        <v>10</v>
      </c>
      <c r="G229" s="22" t="s">
        <v>206</v>
      </c>
      <c r="H229" s="22" t="s">
        <v>239</v>
      </c>
      <c r="I229" s="23" t="n">
        <v>45489</v>
      </c>
      <c r="J229" s="23" t="n">
        <v>45517</v>
      </c>
      <c r="K229" s="23" t="n">
        <v>45519</v>
      </c>
      <c r="L229" s="0" t="n">
        <v>4000</v>
      </c>
      <c r="M229" s="0" t="n">
        <v>5504</v>
      </c>
      <c r="N229" s="0" t="n">
        <v>28</v>
      </c>
      <c r="O229" s="0" t="n">
        <v>2</v>
      </c>
      <c r="P229" s="22" t="s">
        <v>118</v>
      </c>
      <c r="Q229" s="22" t="s">
        <v>123</v>
      </c>
      <c r="R229" s="23" t="n">
        <v>45383</v>
      </c>
      <c r="S229" s="0" t="n">
        <v>200000</v>
      </c>
      <c r="T229" s="22" t="s">
        <v>9</v>
      </c>
      <c r="U229" s="22" t="s">
        <v>8</v>
      </c>
      <c r="V229" s="0" t="n">
        <v>220</v>
      </c>
      <c r="W229" s="0" t="n">
        <f aca="false">tbl_Tasks_Clean[[#This Row],[Actual_Cost]]-tbl_Tasks_Clean[[#This Row],[Planned_Cost]]</f>
        <v>1504</v>
      </c>
      <c r="X229" s="22" t="n">
        <f aca="false">IFERROR(tbl_Tasks_Clean[[#This Row],[Actual_Cost]]/tbl_Tasks_Clean[[#This Row],[Planned_Cost]],0)</f>
        <v>1.376</v>
      </c>
      <c r="Y229" s="22" t="str">
        <f aca="false">IF(AND(tbl_Tasks_Clean[[#This Row],[Status]]="Completed",tbl_Tasks_Clean[[#This Row],[Delay_Days]]&lt;=0),"On Time","Late")</f>
        <v>Late</v>
      </c>
      <c r="Z229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29" s="22" t="str">
        <f aca="false">INDEX(tbl_Projects[Project_Manager],MATCH(tbl_Tasks_Clean[[#This Row],[Project_ID]],tbl_Projects[Project_ID],0))</f>
        <v>Nourhan Tarek</v>
      </c>
      <c r="AB229" s="22" t="str">
        <f aca="false">IF(tbl_Tasks_Clean[[#This Row],[Delay_Days]]&gt;0,"Delayed by "&amp;TEXT(DATEDIF(tbl_Tasks_Clean[[#This Row],[Planned_End_Date]],tbl_Tasks_Clean[[#This Row],[Actual_End_Date]],"d"),"0")&amp;" days","No delay")</f>
        <v>Delayed by 2 days</v>
      </c>
    </row>
    <row r="230" customFormat="false" ht="14.25" hidden="false" customHeight="false" outlineLevel="0" collapsed="false">
      <c r="A230" s="22" t="s">
        <v>1104</v>
      </c>
      <c r="B230" s="22" t="s">
        <v>108</v>
      </c>
      <c r="C230" s="22" t="s">
        <v>109</v>
      </c>
      <c r="D230" s="22" t="s">
        <v>1105</v>
      </c>
      <c r="E230" s="22" t="s">
        <v>34</v>
      </c>
      <c r="F230" s="22" t="s">
        <v>53</v>
      </c>
      <c r="G230" s="22" t="s">
        <v>175</v>
      </c>
      <c r="H230" s="22" t="s">
        <v>239</v>
      </c>
      <c r="I230" s="23" t="n">
        <v>45376</v>
      </c>
      <c r="J230" s="23" t="n">
        <v>45406</v>
      </c>
      <c r="K230" s="23" t="n">
        <v>45404</v>
      </c>
      <c r="L230" s="0" t="n">
        <v>2000</v>
      </c>
      <c r="M230" s="0" t="n">
        <v>2511</v>
      </c>
      <c r="N230" s="0" t="n">
        <v>30</v>
      </c>
      <c r="O230" s="0" t="n">
        <v>-2</v>
      </c>
      <c r="P230" s="22" t="s">
        <v>110</v>
      </c>
      <c r="Q230" s="22" t="s">
        <v>101</v>
      </c>
      <c r="R230" s="23" t="n">
        <v>45300</v>
      </c>
      <c r="S230" s="0" t="n">
        <v>50000</v>
      </c>
      <c r="T230" s="22" t="s">
        <v>52</v>
      </c>
      <c r="U230" s="22" t="s">
        <v>55</v>
      </c>
      <c r="V230" s="0" t="n">
        <v>180</v>
      </c>
      <c r="W230" s="0" t="n">
        <f aca="false">tbl_Tasks_Clean[[#This Row],[Actual_Cost]]-tbl_Tasks_Clean[[#This Row],[Planned_Cost]]</f>
        <v>511</v>
      </c>
      <c r="X230" s="22" t="n">
        <f aca="false">IFERROR(tbl_Tasks_Clean[[#This Row],[Actual_Cost]]/tbl_Tasks_Clean[[#This Row],[Planned_Cost]],0)</f>
        <v>1.2555</v>
      </c>
      <c r="Y230" s="22" t="str">
        <f aca="false">IF(AND(tbl_Tasks_Clean[[#This Row],[Status]]="Completed",tbl_Tasks_Clean[[#This Row],[Delay_Days]]&lt;=0),"On Time","Late")</f>
        <v>On Time</v>
      </c>
      <c r="Z230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30" s="22" t="str">
        <f aca="false">INDEX(tbl_Projects[Project_Manager],MATCH(tbl_Tasks_Clean[[#This Row],[Project_ID]],tbl_Projects[Project_ID],0))</f>
        <v>Ahmed Nabil</v>
      </c>
      <c r="AB230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31" customFormat="false" ht="14.25" hidden="false" customHeight="false" outlineLevel="0" collapsed="false">
      <c r="A231" s="22" t="s">
        <v>1109</v>
      </c>
      <c r="B231" s="22" t="s">
        <v>143</v>
      </c>
      <c r="C231" s="22" t="s">
        <v>144</v>
      </c>
      <c r="D231" s="22" t="s">
        <v>1110</v>
      </c>
      <c r="E231" s="22" t="s">
        <v>76</v>
      </c>
      <c r="F231" s="22" t="s">
        <v>26</v>
      </c>
      <c r="G231" s="22" t="s">
        <v>275</v>
      </c>
      <c r="H231" s="22" t="s">
        <v>239</v>
      </c>
      <c r="I231" s="23" t="n">
        <v>45442</v>
      </c>
      <c r="J231" s="23" t="n">
        <v>45462</v>
      </c>
      <c r="K231" s="23" t="n">
        <v>45462</v>
      </c>
      <c r="L231" s="0" t="n">
        <v>2000</v>
      </c>
      <c r="M231" s="0" t="n">
        <v>1912</v>
      </c>
      <c r="N231" s="0" t="n">
        <v>20</v>
      </c>
      <c r="O231" s="0" t="n">
        <v>0</v>
      </c>
      <c r="P231" s="22" t="s">
        <v>145</v>
      </c>
      <c r="Q231" s="22" t="s">
        <v>101</v>
      </c>
      <c r="R231" s="23" t="n">
        <v>45303</v>
      </c>
      <c r="S231" s="0" t="n">
        <v>300000</v>
      </c>
      <c r="T231" s="22" t="s">
        <v>25</v>
      </c>
      <c r="U231" s="22" t="s">
        <v>27</v>
      </c>
      <c r="V231" s="0" t="n">
        <v>200</v>
      </c>
      <c r="W231" s="0" t="n">
        <f aca="false">tbl_Tasks_Clean[[#This Row],[Actual_Cost]]-tbl_Tasks_Clean[[#This Row],[Planned_Cost]]</f>
        <v>-88</v>
      </c>
      <c r="X231" s="22" t="n">
        <f aca="false">IFERROR(tbl_Tasks_Clean[[#This Row],[Actual_Cost]]/tbl_Tasks_Clean[[#This Row],[Planned_Cost]],0)</f>
        <v>0.956</v>
      </c>
      <c r="Y231" s="22" t="str">
        <f aca="false">IF(AND(tbl_Tasks_Clean[[#This Row],[Status]]="Completed",tbl_Tasks_Clean[[#This Row],[Delay_Days]]&lt;=0),"On Time","Late")</f>
        <v>On Time</v>
      </c>
      <c r="Z231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31" s="22" t="str">
        <f aca="false">INDEX(tbl_Projects[Project_Manager],MATCH(tbl_Tasks_Clean[[#This Row],[Project_ID]],tbl_Projects[Project_ID],0))</f>
        <v>Ahmed Nabil</v>
      </c>
      <c r="AB231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32" customFormat="false" ht="14.25" hidden="false" customHeight="false" outlineLevel="0" collapsed="false">
      <c r="A232" s="22" t="s">
        <v>1112</v>
      </c>
      <c r="B232" s="22" t="s">
        <v>103</v>
      </c>
      <c r="C232" s="22" t="s">
        <v>104</v>
      </c>
      <c r="D232" s="22" t="s">
        <v>978</v>
      </c>
      <c r="E232" s="22" t="s">
        <v>7</v>
      </c>
      <c r="F232" s="22" t="s">
        <v>81</v>
      </c>
      <c r="G232" s="22" t="s">
        <v>275</v>
      </c>
      <c r="H232" s="22" t="s">
        <v>239</v>
      </c>
      <c r="I232" s="23" t="n">
        <v>45611</v>
      </c>
      <c r="J232" s="23" t="n">
        <v>45621</v>
      </c>
      <c r="K232" s="23" t="n">
        <v>45621</v>
      </c>
      <c r="L232" s="0" t="n">
        <v>8000</v>
      </c>
      <c r="M232" s="0" t="n">
        <v>11057</v>
      </c>
      <c r="N232" s="0" t="n">
        <v>10</v>
      </c>
      <c r="O232" s="0" t="n">
        <v>0</v>
      </c>
      <c r="P232" s="22" t="s">
        <v>105</v>
      </c>
      <c r="Q232" s="22" t="s">
        <v>106</v>
      </c>
      <c r="R232" s="23" t="n">
        <v>45465</v>
      </c>
      <c r="S232" s="0" t="n">
        <v>75000</v>
      </c>
      <c r="T232" s="22" t="s">
        <v>80</v>
      </c>
      <c r="U232" s="22" t="s">
        <v>77</v>
      </c>
      <c r="V232" s="0" t="n">
        <v>200</v>
      </c>
      <c r="W232" s="0" t="n">
        <f aca="false">tbl_Tasks_Clean[[#This Row],[Actual_Cost]]-tbl_Tasks_Clean[[#This Row],[Planned_Cost]]</f>
        <v>3057</v>
      </c>
      <c r="X232" s="22" t="n">
        <f aca="false">IFERROR(tbl_Tasks_Clean[[#This Row],[Actual_Cost]]/tbl_Tasks_Clean[[#This Row],[Planned_Cost]],0)</f>
        <v>1.382125</v>
      </c>
      <c r="Y232" s="22" t="str">
        <f aca="false">IF(AND(tbl_Tasks_Clean[[#This Row],[Status]]="Completed",tbl_Tasks_Clean[[#This Row],[Delay_Days]]&lt;=0),"On Time","Late")</f>
        <v>On Time</v>
      </c>
      <c r="Z232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32" s="22" t="str">
        <f aca="false">INDEX(tbl_Projects[Project_Manager],MATCH(tbl_Tasks_Clean[[#This Row],[Project_ID]],tbl_Projects[Project_ID],0))</f>
        <v>Laila Samir</v>
      </c>
      <c r="AB232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33" customFormat="false" ht="14.25" hidden="false" customHeight="false" outlineLevel="0" collapsed="false">
      <c r="A233" s="22" t="s">
        <v>1115</v>
      </c>
      <c r="B233" s="22" t="s">
        <v>120</v>
      </c>
      <c r="C233" s="22" t="s">
        <v>121</v>
      </c>
      <c r="D233" s="22" t="s">
        <v>1116</v>
      </c>
      <c r="E233" s="22" t="s">
        <v>44</v>
      </c>
      <c r="F233" s="22" t="s">
        <v>6</v>
      </c>
      <c r="G233" s="22" t="s">
        <v>175</v>
      </c>
      <c r="H233" s="22" t="s">
        <v>212</v>
      </c>
      <c r="I233" s="23" t="n">
        <v>45398</v>
      </c>
      <c r="J233" s="23" t="n">
        <v>45415</v>
      </c>
      <c r="K233" s="23"/>
      <c r="L233" s="0" t="n">
        <v>1500</v>
      </c>
      <c r="M233" s="0" t="n">
        <v>422</v>
      </c>
      <c r="N233" s="0" t="n">
        <v>17</v>
      </c>
      <c r="O233" s="0" t="n">
        <v>0</v>
      </c>
      <c r="P233" s="22" t="s">
        <v>122</v>
      </c>
      <c r="Q233" s="22" t="s">
        <v>123</v>
      </c>
      <c r="R233" s="23" t="n">
        <v>45348</v>
      </c>
      <c r="S233" s="0" t="n">
        <v>300000</v>
      </c>
      <c r="T233" s="22" t="s">
        <v>5</v>
      </c>
      <c r="U233" s="22" t="s">
        <v>8</v>
      </c>
      <c r="V233" s="0" t="n">
        <v>150</v>
      </c>
      <c r="W233" s="0" t="n">
        <f aca="false">tbl_Tasks_Clean[[#This Row],[Actual_Cost]]-tbl_Tasks_Clean[[#This Row],[Planned_Cost]]</f>
        <v>-1078</v>
      </c>
      <c r="X233" s="22" t="n">
        <f aca="false">IFERROR(tbl_Tasks_Clean[[#This Row],[Actual_Cost]]/tbl_Tasks_Clean[[#This Row],[Planned_Cost]],0)</f>
        <v>0.281333333333333</v>
      </c>
      <c r="Y233" s="22" t="str">
        <f aca="false">IF(AND(tbl_Tasks_Clean[[#This Row],[Status]]="Completed",tbl_Tasks_Clean[[#This Row],[Delay_Days]]&lt;=0),"On Time","Late")</f>
        <v>Late</v>
      </c>
      <c r="Z233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33" s="22" t="str">
        <f aca="false">INDEX(tbl_Projects[Project_Manager],MATCH(tbl_Tasks_Clean[[#This Row],[Project_ID]],tbl_Projects[Project_ID],0))</f>
        <v>Nourhan Tarek</v>
      </c>
      <c r="AB233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34" customFormat="false" ht="14.25" hidden="false" customHeight="false" outlineLevel="0" collapsed="false">
      <c r="A234" s="22" t="s">
        <v>1118</v>
      </c>
      <c r="B234" s="22" t="s">
        <v>93</v>
      </c>
      <c r="C234" s="22" t="s">
        <v>94</v>
      </c>
      <c r="D234" s="22" t="s">
        <v>730</v>
      </c>
      <c r="E234" s="22" t="s">
        <v>21</v>
      </c>
      <c r="F234" s="22" t="s">
        <v>60</v>
      </c>
      <c r="G234" s="22" t="s">
        <v>175</v>
      </c>
      <c r="H234" s="22" t="s">
        <v>239</v>
      </c>
      <c r="I234" s="23" t="n">
        <v>45614</v>
      </c>
      <c r="J234" s="23" t="n">
        <v>45629</v>
      </c>
      <c r="K234" s="23" t="n">
        <v>45629</v>
      </c>
      <c r="L234" s="0" t="n">
        <v>6000</v>
      </c>
      <c r="M234" s="0" t="n">
        <v>5449</v>
      </c>
      <c r="N234" s="0" t="n">
        <v>15</v>
      </c>
      <c r="O234" s="0" t="n">
        <v>0</v>
      </c>
      <c r="P234" s="22" t="s">
        <v>95</v>
      </c>
      <c r="Q234" s="22" t="s">
        <v>96</v>
      </c>
      <c r="R234" s="23" t="n">
        <v>45481</v>
      </c>
      <c r="S234" s="0" t="n">
        <v>150000</v>
      </c>
      <c r="T234" s="22" t="s">
        <v>59</v>
      </c>
      <c r="U234" s="22" t="s">
        <v>58</v>
      </c>
      <c r="V234" s="0" t="n">
        <v>300</v>
      </c>
      <c r="W234" s="0" t="n">
        <f aca="false">tbl_Tasks_Clean[[#This Row],[Actual_Cost]]-tbl_Tasks_Clean[[#This Row],[Planned_Cost]]</f>
        <v>-551</v>
      </c>
      <c r="X234" s="22" t="n">
        <f aca="false">IFERROR(tbl_Tasks_Clean[[#This Row],[Actual_Cost]]/tbl_Tasks_Clean[[#This Row],[Planned_Cost]],0)</f>
        <v>0.908166666666667</v>
      </c>
      <c r="Y234" s="22" t="str">
        <f aca="false">IF(AND(tbl_Tasks_Clean[[#This Row],[Status]]="Completed",tbl_Tasks_Clean[[#This Row],[Delay_Days]]&lt;=0),"On Time","Late")</f>
        <v>On Time</v>
      </c>
      <c r="Z234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34" s="22" t="str">
        <f aca="false">INDEX(tbl_Projects[Project_Manager],MATCH(tbl_Tasks_Clean[[#This Row],[Project_ID]],tbl_Projects[Project_ID],0))</f>
        <v>Youssef Adel</v>
      </c>
      <c r="AB234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35" customFormat="false" ht="14.25" hidden="false" customHeight="false" outlineLevel="0" collapsed="false">
      <c r="A235" s="22" t="s">
        <v>1121</v>
      </c>
      <c r="B235" s="22" t="s">
        <v>108</v>
      </c>
      <c r="C235" s="22" t="s">
        <v>109</v>
      </c>
      <c r="D235" s="22" t="s">
        <v>1122</v>
      </c>
      <c r="E235" s="22" t="s">
        <v>44</v>
      </c>
      <c r="F235" s="22" t="s">
        <v>53</v>
      </c>
      <c r="G235" s="22" t="s">
        <v>206</v>
      </c>
      <c r="H235" s="22" t="s">
        <v>194</v>
      </c>
      <c r="I235" s="23" t="n">
        <v>45427</v>
      </c>
      <c r="J235" s="23" t="n">
        <v>45452</v>
      </c>
      <c r="K235" s="23" t="n">
        <v>45464</v>
      </c>
      <c r="L235" s="0" t="n">
        <v>4000</v>
      </c>
      <c r="M235" s="0" t="n">
        <v>5388</v>
      </c>
      <c r="N235" s="0" t="n">
        <v>25</v>
      </c>
      <c r="O235" s="0" t="n">
        <v>12</v>
      </c>
      <c r="P235" s="22" t="s">
        <v>110</v>
      </c>
      <c r="Q235" s="22" t="s">
        <v>101</v>
      </c>
      <c r="R235" s="23" t="n">
        <v>45300</v>
      </c>
      <c r="S235" s="0" t="n">
        <v>50000</v>
      </c>
      <c r="T235" s="22" t="s">
        <v>52</v>
      </c>
      <c r="U235" s="22" t="s">
        <v>55</v>
      </c>
      <c r="V235" s="0" t="n">
        <v>180</v>
      </c>
      <c r="W235" s="0" t="n">
        <f aca="false">tbl_Tasks_Clean[[#This Row],[Actual_Cost]]-tbl_Tasks_Clean[[#This Row],[Planned_Cost]]</f>
        <v>1388</v>
      </c>
      <c r="X235" s="22" t="n">
        <f aca="false">IFERROR(tbl_Tasks_Clean[[#This Row],[Actual_Cost]]/tbl_Tasks_Clean[[#This Row],[Planned_Cost]],0)</f>
        <v>1.347</v>
      </c>
      <c r="Y235" s="22" t="str">
        <f aca="false">IF(AND(tbl_Tasks_Clean[[#This Row],[Status]]="Completed",tbl_Tasks_Clean[[#This Row],[Delay_Days]]&lt;=0),"On Time","Late")</f>
        <v>Late</v>
      </c>
      <c r="Z235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35" s="22" t="str">
        <f aca="false">INDEX(tbl_Projects[Project_Manager],MATCH(tbl_Tasks_Clean[[#This Row],[Project_ID]],tbl_Projects[Project_ID],0))</f>
        <v>Ahmed Nabil</v>
      </c>
      <c r="AB235" s="22" t="str">
        <f aca="false">IF(tbl_Tasks_Clean[[#This Row],[Delay_Days]]&gt;0,"Delayed by "&amp;TEXT(DATEDIF(tbl_Tasks_Clean[[#This Row],[Planned_End_Date]],tbl_Tasks_Clean[[#This Row],[Actual_End_Date]],"d"),"0")&amp;" days","No delay")</f>
        <v>Delayed by 12 days</v>
      </c>
    </row>
    <row r="236" customFormat="false" ht="14.25" hidden="false" customHeight="false" outlineLevel="0" collapsed="false">
      <c r="A236" s="22" t="s">
        <v>1125</v>
      </c>
      <c r="B236" s="22" t="s">
        <v>129</v>
      </c>
      <c r="C236" s="22" t="s">
        <v>130</v>
      </c>
      <c r="D236" s="22" t="s">
        <v>199</v>
      </c>
      <c r="E236" s="22" t="s">
        <v>34</v>
      </c>
      <c r="F236" s="22" t="s">
        <v>15</v>
      </c>
      <c r="G236" s="22" t="s">
        <v>275</v>
      </c>
      <c r="H236" s="22" t="s">
        <v>201</v>
      </c>
      <c r="I236" s="23" t="n">
        <v>45457</v>
      </c>
      <c r="J236" s="23" t="n">
        <v>45474</v>
      </c>
      <c r="K236" s="23"/>
      <c r="L236" s="0" t="n">
        <v>3000</v>
      </c>
      <c r="M236" s="0" t="n">
        <v>0</v>
      </c>
      <c r="N236" s="0" t="n">
        <v>17</v>
      </c>
      <c r="O236" s="0" t="n">
        <v>0</v>
      </c>
      <c r="P236" s="22" t="s">
        <v>118</v>
      </c>
      <c r="Q236" s="22" t="s">
        <v>131</v>
      </c>
      <c r="R236" s="23" t="n">
        <v>45379</v>
      </c>
      <c r="S236" s="0" t="n">
        <v>150000</v>
      </c>
      <c r="T236" s="22" t="s">
        <v>14</v>
      </c>
      <c r="U236" s="22" t="s">
        <v>16</v>
      </c>
      <c r="V236" s="0" t="n">
        <v>180</v>
      </c>
      <c r="W236" s="0" t="n">
        <f aca="false">tbl_Tasks_Clean[[#This Row],[Actual_Cost]]-tbl_Tasks_Clean[[#This Row],[Planned_Cost]]</f>
        <v>-3000</v>
      </c>
      <c r="X236" s="22" t="n">
        <f aca="false">IFERROR(tbl_Tasks_Clean[[#This Row],[Actual_Cost]]/tbl_Tasks_Clean[[#This Row],[Planned_Cost]],0)</f>
        <v>0</v>
      </c>
      <c r="Y236" s="22" t="str">
        <f aca="false">IF(AND(tbl_Tasks_Clean[[#This Row],[Status]]="Completed",tbl_Tasks_Clean[[#This Row],[Delay_Days]]&lt;=0),"On Time","Late")</f>
        <v>Late</v>
      </c>
      <c r="Z236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36" s="22" t="str">
        <f aca="false">INDEX(tbl_Projects[Project_Manager],MATCH(tbl_Tasks_Clean[[#This Row],[Project_ID]],tbl_Projects[Project_ID],0))</f>
        <v>Sara Hassan</v>
      </c>
      <c r="AB236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37" customFormat="false" ht="14.25" hidden="false" customHeight="false" outlineLevel="0" collapsed="false">
      <c r="A237" s="22" t="s">
        <v>1127</v>
      </c>
      <c r="B237" s="22" t="s">
        <v>147</v>
      </c>
      <c r="C237" s="22" t="s">
        <v>148</v>
      </c>
      <c r="D237" s="22" t="s">
        <v>1128</v>
      </c>
      <c r="E237" s="22" t="s">
        <v>76</v>
      </c>
      <c r="F237" s="22" t="s">
        <v>66</v>
      </c>
      <c r="G237" s="22" t="s">
        <v>206</v>
      </c>
      <c r="H237" s="22" t="s">
        <v>239</v>
      </c>
      <c r="I237" s="23" t="n">
        <v>45499</v>
      </c>
      <c r="J237" s="23" t="n">
        <v>45514</v>
      </c>
      <c r="K237" s="23" t="n">
        <v>45512</v>
      </c>
      <c r="L237" s="0" t="n">
        <v>2000</v>
      </c>
      <c r="M237" s="0" t="n">
        <v>2401</v>
      </c>
      <c r="N237" s="0" t="n">
        <v>15</v>
      </c>
      <c r="O237" s="0" t="n">
        <v>-2</v>
      </c>
      <c r="P237" s="22" t="s">
        <v>118</v>
      </c>
      <c r="Q237" s="22" t="s">
        <v>123</v>
      </c>
      <c r="R237" s="23" t="n">
        <v>45388</v>
      </c>
      <c r="S237" s="0" t="n">
        <v>75000</v>
      </c>
      <c r="T237" s="22" t="s">
        <v>65</v>
      </c>
      <c r="U237" s="22" t="s">
        <v>67</v>
      </c>
      <c r="V237" s="0" t="n">
        <v>250</v>
      </c>
      <c r="W237" s="0" t="n">
        <f aca="false">tbl_Tasks_Clean[[#This Row],[Actual_Cost]]-tbl_Tasks_Clean[[#This Row],[Planned_Cost]]</f>
        <v>401</v>
      </c>
      <c r="X237" s="22" t="n">
        <f aca="false">IFERROR(tbl_Tasks_Clean[[#This Row],[Actual_Cost]]/tbl_Tasks_Clean[[#This Row],[Planned_Cost]],0)</f>
        <v>1.2005</v>
      </c>
      <c r="Y237" s="22" t="str">
        <f aca="false">IF(AND(tbl_Tasks_Clean[[#This Row],[Status]]="Completed",tbl_Tasks_Clean[[#This Row],[Delay_Days]]&lt;=0),"On Time","Late")</f>
        <v>On Time</v>
      </c>
      <c r="Z237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37" s="22" t="str">
        <f aca="false">INDEX(tbl_Projects[Project_Manager],MATCH(tbl_Tasks_Clean[[#This Row],[Project_ID]],tbl_Projects[Project_ID],0))</f>
        <v>Nourhan Tarek</v>
      </c>
      <c r="AB237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38" customFormat="false" ht="14.25" hidden="false" customHeight="false" outlineLevel="0" collapsed="false">
      <c r="A238" s="22" t="s">
        <v>1132</v>
      </c>
      <c r="B238" s="22" t="s">
        <v>125</v>
      </c>
      <c r="C238" s="22" t="s">
        <v>126</v>
      </c>
      <c r="D238" s="22" t="s">
        <v>1133</v>
      </c>
      <c r="E238" s="22" t="s">
        <v>7</v>
      </c>
      <c r="F238" s="22" t="s">
        <v>69</v>
      </c>
      <c r="G238" s="22" t="s">
        <v>175</v>
      </c>
      <c r="H238" s="22" t="s">
        <v>194</v>
      </c>
      <c r="I238" s="23" t="n">
        <v>45356</v>
      </c>
      <c r="J238" s="23" t="n">
        <v>45363</v>
      </c>
      <c r="K238" s="23" t="n">
        <v>45370</v>
      </c>
      <c r="L238" s="0" t="n">
        <v>2500</v>
      </c>
      <c r="M238" s="0" t="n">
        <v>3083</v>
      </c>
      <c r="N238" s="0" t="n">
        <v>7</v>
      </c>
      <c r="O238" s="0" t="n">
        <v>7</v>
      </c>
      <c r="P238" s="22" t="s">
        <v>127</v>
      </c>
      <c r="Q238" s="22" t="s">
        <v>106</v>
      </c>
      <c r="R238" s="23" t="n">
        <v>45293</v>
      </c>
      <c r="S238" s="0" t="n">
        <v>100000</v>
      </c>
      <c r="T238" s="22" t="s">
        <v>68</v>
      </c>
      <c r="U238" s="22" t="s">
        <v>67</v>
      </c>
      <c r="V238" s="0" t="n">
        <v>180</v>
      </c>
      <c r="W238" s="0" t="n">
        <f aca="false">tbl_Tasks_Clean[[#This Row],[Actual_Cost]]-tbl_Tasks_Clean[[#This Row],[Planned_Cost]]</f>
        <v>583</v>
      </c>
      <c r="X238" s="22" t="n">
        <f aca="false">IFERROR(tbl_Tasks_Clean[[#This Row],[Actual_Cost]]/tbl_Tasks_Clean[[#This Row],[Planned_Cost]],0)</f>
        <v>1.2332</v>
      </c>
      <c r="Y238" s="22" t="str">
        <f aca="false">IF(AND(tbl_Tasks_Clean[[#This Row],[Status]]="Completed",tbl_Tasks_Clean[[#This Row],[Delay_Days]]&lt;=0),"On Time","Late")</f>
        <v>Late</v>
      </c>
      <c r="Z238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238" s="22" t="str">
        <f aca="false">INDEX(tbl_Projects[Project_Manager],MATCH(tbl_Tasks_Clean[[#This Row],[Project_ID]],tbl_Projects[Project_ID],0))</f>
        <v>Laila Samir</v>
      </c>
      <c r="AB238" s="22" t="str">
        <f aca="false">IF(tbl_Tasks_Clean[[#This Row],[Delay_Days]]&gt;0,"Delayed by "&amp;TEXT(DATEDIF(tbl_Tasks_Clean[[#This Row],[Planned_End_Date]],tbl_Tasks_Clean[[#This Row],[Actual_End_Date]],"d"),"0")&amp;" days","No delay")</f>
        <v>Delayed by 7 days</v>
      </c>
    </row>
    <row r="239" customFormat="false" ht="14.25" hidden="false" customHeight="false" outlineLevel="0" collapsed="false">
      <c r="A239" s="22" t="s">
        <v>1136</v>
      </c>
      <c r="B239" s="22" t="s">
        <v>140</v>
      </c>
      <c r="C239" s="22" t="s">
        <v>141</v>
      </c>
      <c r="D239" s="22" t="s">
        <v>491</v>
      </c>
      <c r="E239" s="22" t="s">
        <v>7</v>
      </c>
      <c r="F239" s="22" t="s">
        <v>79</v>
      </c>
      <c r="G239" s="22" t="s">
        <v>275</v>
      </c>
      <c r="H239" s="22" t="s">
        <v>212</v>
      </c>
      <c r="I239" s="23" t="n">
        <v>45522</v>
      </c>
      <c r="J239" s="23" t="n">
        <v>45534</v>
      </c>
      <c r="K239" s="23"/>
      <c r="L239" s="0" t="n">
        <v>2000</v>
      </c>
      <c r="M239" s="0" t="n">
        <v>758</v>
      </c>
      <c r="N239" s="0" t="n">
        <v>12</v>
      </c>
      <c r="O239" s="0" t="n">
        <v>0</v>
      </c>
      <c r="P239" s="22" t="s">
        <v>118</v>
      </c>
      <c r="Q239" s="22" t="s">
        <v>123</v>
      </c>
      <c r="R239" s="23" t="n">
        <v>45383</v>
      </c>
      <c r="S239" s="0" t="n">
        <v>200000</v>
      </c>
      <c r="T239" s="22" t="s">
        <v>78</v>
      </c>
      <c r="U239" s="22" t="s">
        <v>77</v>
      </c>
      <c r="V239" s="0" t="n">
        <v>250</v>
      </c>
      <c r="W239" s="0" t="n">
        <f aca="false">tbl_Tasks_Clean[[#This Row],[Actual_Cost]]-tbl_Tasks_Clean[[#This Row],[Planned_Cost]]</f>
        <v>-1242</v>
      </c>
      <c r="X239" s="22" t="n">
        <f aca="false">IFERROR(tbl_Tasks_Clean[[#This Row],[Actual_Cost]]/tbl_Tasks_Clean[[#This Row],[Planned_Cost]],0)</f>
        <v>0.379</v>
      </c>
      <c r="Y239" s="22" t="str">
        <f aca="false">IF(AND(tbl_Tasks_Clean[[#This Row],[Status]]="Completed",tbl_Tasks_Clean[[#This Row],[Delay_Days]]&lt;=0),"On Time","Late")</f>
        <v>Late</v>
      </c>
      <c r="Z239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39" s="22" t="str">
        <f aca="false">INDEX(tbl_Projects[Project_Manager],MATCH(tbl_Tasks_Clean[[#This Row],[Project_ID]],tbl_Projects[Project_ID],0))</f>
        <v>Nourhan Tarek</v>
      </c>
      <c r="AB239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40" customFormat="false" ht="14.25" hidden="false" customHeight="false" outlineLevel="0" collapsed="false">
      <c r="A240" s="22" t="s">
        <v>1139</v>
      </c>
      <c r="B240" s="22" t="s">
        <v>98</v>
      </c>
      <c r="C240" s="22" t="s">
        <v>99</v>
      </c>
      <c r="D240" s="22" t="s">
        <v>1140</v>
      </c>
      <c r="E240" s="22" t="s">
        <v>63</v>
      </c>
      <c r="F240" s="22" t="s">
        <v>24</v>
      </c>
      <c r="G240" s="22" t="s">
        <v>1372</v>
      </c>
      <c r="H240" s="22" t="s">
        <v>239</v>
      </c>
      <c r="I240" s="23" t="n">
        <v>45469</v>
      </c>
      <c r="J240" s="23" t="n">
        <v>45479</v>
      </c>
      <c r="K240" s="23" t="n">
        <v>45479</v>
      </c>
      <c r="L240" s="0" t="n">
        <v>8000</v>
      </c>
      <c r="M240" s="0" t="n">
        <v>6410</v>
      </c>
      <c r="N240" s="0" t="n">
        <v>10</v>
      </c>
      <c r="O240" s="0" t="n">
        <v>0</v>
      </c>
      <c r="P240" s="22" t="s">
        <v>100</v>
      </c>
      <c r="Q240" s="22" t="s">
        <v>101</v>
      </c>
      <c r="R240" s="23" t="n">
        <v>45349</v>
      </c>
      <c r="S240" s="0" t="n">
        <v>100000</v>
      </c>
      <c r="T240" s="22" t="s">
        <v>23</v>
      </c>
      <c r="U240" s="22" t="s">
        <v>22</v>
      </c>
      <c r="V240" s="0" t="n">
        <v>180</v>
      </c>
      <c r="W240" s="0" t="n">
        <f aca="false">tbl_Tasks_Clean[[#This Row],[Actual_Cost]]-tbl_Tasks_Clean[[#This Row],[Planned_Cost]]</f>
        <v>-1590</v>
      </c>
      <c r="X240" s="22" t="n">
        <f aca="false">IFERROR(tbl_Tasks_Clean[[#This Row],[Actual_Cost]]/tbl_Tasks_Clean[[#This Row],[Planned_Cost]],0)</f>
        <v>0.80125</v>
      </c>
      <c r="Y240" s="22" t="str">
        <f aca="false">IF(AND(tbl_Tasks_Clean[[#This Row],[Status]]="Completed",tbl_Tasks_Clean[[#This Row],[Delay_Days]]&lt;=0),"On Time","Late")</f>
        <v>On Time</v>
      </c>
      <c r="Z240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40" s="22" t="str">
        <f aca="false">INDEX(tbl_Projects[Project_Manager],MATCH(tbl_Tasks_Clean[[#This Row],[Project_ID]],tbl_Projects[Project_ID],0))</f>
        <v>Ahmed Nabil</v>
      </c>
      <c r="AB240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41" customFormat="false" ht="14.25" hidden="false" customHeight="false" outlineLevel="0" collapsed="false">
      <c r="A241" s="22" t="s">
        <v>1142</v>
      </c>
      <c r="B241" s="22" t="s">
        <v>129</v>
      </c>
      <c r="C241" s="22" t="s">
        <v>130</v>
      </c>
      <c r="D241" s="22" t="s">
        <v>410</v>
      </c>
      <c r="E241" s="22" t="s">
        <v>54</v>
      </c>
      <c r="F241" s="22" t="s">
        <v>18</v>
      </c>
      <c r="G241" s="22" t="s">
        <v>275</v>
      </c>
      <c r="H241" s="22" t="s">
        <v>201</v>
      </c>
      <c r="I241" s="23" t="n">
        <v>45382</v>
      </c>
      <c r="J241" s="23" t="n">
        <v>45386</v>
      </c>
      <c r="K241" s="23"/>
      <c r="L241" s="0" t="n">
        <v>2500</v>
      </c>
      <c r="M241" s="0" t="n">
        <v>0</v>
      </c>
      <c r="N241" s="0" t="n">
        <v>4</v>
      </c>
      <c r="O241" s="0" t="n">
        <v>0</v>
      </c>
      <c r="P241" s="22" t="s">
        <v>118</v>
      </c>
      <c r="Q241" s="22" t="s">
        <v>131</v>
      </c>
      <c r="R241" s="23" t="n">
        <v>45379</v>
      </c>
      <c r="S241" s="0" t="n">
        <v>150000</v>
      </c>
      <c r="T241" s="22" t="s">
        <v>17</v>
      </c>
      <c r="U241" s="22" t="s">
        <v>8</v>
      </c>
      <c r="V241" s="0" t="n">
        <v>220</v>
      </c>
      <c r="W241" s="0" t="n">
        <f aca="false">tbl_Tasks_Clean[[#This Row],[Actual_Cost]]-tbl_Tasks_Clean[[#This Row],[Planned_Cost]]</f>
        <v>-2500</v>
      </c>
      <c r="X241" s="22" t="n">
        <f aca="false">IFERROR(tbl_Tasks_Clean[[#This Row],[Actual_Cost]]/tbl_Tasks_Clean[[#This Row],[Planned_Cost]],0)</f>
        <v>0</v>
      </c>
      <c r="Y241" s="22" t="str">
        <f aca="false">IF(AND(tbl_Tasks_Clean[[#This Row],[Status]]="Completed",tbl_Tasks_Clean[[#This Row],[Delay_Days]]&lt;=0),"On Time","Late")</f>
        <v>Late</v>
      </c>
      <c r="Z241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241" s="22" t="str">
        <f aca="false">INDEX(tbl_Projects[Project_Manager],MATCH(tbl_Tasks_Clean[[#This Row],[Project_ID]],tbl_Projects[Project_ID],0))</f>
        <v>Sara Hassan</v>
      </c>
      <c r="AB241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42" customFormat="false" ht="14.25" hidden="false" customHeight="false" outlineLevel="0" collapsed="false">
      <c r="A242" s="22" t="s">
        <v>1143</v>
      </c>
      <c r="B242" s="22" t="s">
        <v>93</v>
      </c>
      <c r="C242" s="22" t="s">
        <v>94</v>
      </c>
      <c r="D242" s="22" t="s">
        <v>1144</v>
      </c>
      <c r="E242" s="22" t="s">
        <v>44</v>
      </c>
      <c r="F242" s="22" t="s">
        <v>47</v>
      </c>
      <c r="G242" s="22" t="s">
        <v>206</v>
      </c>
      <c r="H242" s="22" t="s">
        <v>212</v>
      </c>
      <c r="I242" s="23" t="n">
        <v>45543</v>
      </c>
      <c r="J242" s="23" t="n">
        <v>45572</v>
      </c>
      <c r="K242" s="23"/>
      <c r="L242" s="0" t="n">
        <v>1500</v>
      </c>
      <c r="M242" s="0" t="n">
        <v>551</v>
      </c>
      <c r="N242" s="0" t="n">
        <v>29</v>
      </c>
      <c r="O242" s="0" t="n">
        <v>0</v>
      </c>
      <c r="P242" s="22" t="s">
        <v>95</v>
      </c>
      <c r="Q242" s="22" t="s">
        <v>96</v>
      </c>
      <c r="R242" s="23" t="n">
        <v>45481</v>
      </c>
      <c r="S242" s="0" t="n">
        <v>150000</v>
      </c>
      <c r="T242" s="22" t="s">
        <v>46</v>
      </c>
      <c r="U242" s="22" t="s">
        <v>48</v>
      </c>
      <c r="V242" s="0" t="n">
        <v>280</v>
      </c>
      <c r="W242" s="0" t="n">
        <f aca="false">tbl_Tasks_Clean[[#This Row],[Actual_Cost]]-tbl_Tasks_Clean[[#This Row],[Planned_Cost]]</f>
        <v>-949</v>
      </c>
      <c r="X242" s="22" t="n">
        <f aca="false">IFERROR(tbl_Tasks_Clean[[#This Row],[Actual_Cost]]/tbl_Tasks_Clean[[#This Row],[Planned_Cost]],0)</f>
        <v>0.367333333333333</v>
      </c>
      <c r="Y242" s="22" t="str">
        <f aca="false">IF(AND(tbl_Tasks_Clean[[#This Row],[Status]]="Completed",tbl_Tasks_Clean[[#This Row],[Delay_Days]]&lt;=0),"On Time","Late")</f>
        <v>Late</v>
      </c>
      <c r="Z242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42" s="22" t="str">
        <f aca="false">INDEX(tbl_Projects[Project_Manager],MATCH(tbl_Tasks_Clean[[#This Row],[Project_ID]],tbl_Projects[Project_ID],0))</f>
        <v>Youssef Adel</v>
      </c>
      <c r="AB242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43" customFormat="false" ht="14.25" hidden="false" customHeight="false" outlineLevel="0" collapsed="false">
      <c r="A243" s="22" t="s">
        <v>1146</v>
      </c>
      <c r="B243" s="22" t="s">
        <v>120</v>
      </c>
      <c r="C243" s="22" t="s">
        <v>121</v>
      </c>
      <c r="D243" s="22" t="s">
        <v>1147</v>
      </c>
      <c r="E243" s="22" t="s">
        <v>21</v>
      </c>
      <c r="F243" s="22" t="s">
        <v>66</v>
      </c>
      <c r="G243" s="22" t="s">
        <v>275</v>
      </c>
      <c r="H243" s="22" t="s">
        <v>239</v>
      </c>
      <c r="I243" s="23" t="n">
        <v>45491</v>
      </c>
      <c r="J243" s="23" t="n">
        <v>45507</v>
      </c>
      <c r="K243" s="23" t="n">
        <v>45507</v>
      </c>
      <c r="L243" s="0" t="n">
        <v>2500</v>
      </c>
      <c r="M243" s="0" t="n">
        <v>3146</v>
      </c>
      <c r="N243" s="0" t="n">
        <v>16</v>
      </c>
      <c r="O243" s="0" t="n">
        <v>0</v>
      </c>
      <c r="P243" s="22" t="s">
        <v>122</v>
      </c>
      <c r="Q243" s="22" t="s">
        <v>123</v>
      </c>
      <c r="R243" s="23" t="n">
        <v>45348</v>
      </c>
      <c r="S243" s="0" t="n">
        <v>300000</v>
      </c>
      <c r="T243" s="22" t="s">
        <v>65</v>
      </c>
      <c r="U243" s="22" t="s">
        <v>67</v>
      </c>
      <c r="V243" s="0" t="n">
        <v>250</v>
      </c>
      <c r="W243" s="0" t="n">
        <f aca="false">tbl_Tasks_Clean[[#This Row],[Actual_Cost]]-tbl_Tasks_Clean[[#This Row],[Planned_Cost]]</f>
        <v>646</v>
      </c>
      <c r="X243" s="22" t="n">
        <f aca="false">IFERROR(tbl_Tasks_Clean[[#This Row],[Actual_Cost]]/tbl_Tasks_Clean[[#This Row],[Planned_Cost]],0)</f>
        <v>1.2584</v>
      </c>
      <c r="Y243" s="22" t="str">
        <f aca="false">IF(AND(tbl_Tasks_Clean[[#This Row],[Status]]="Completed",tbl_Tasks_Clean[[#This Row],[Delay_Days]]&lt;=0),"On Time","Late")</f>
        <v>On Time</v>
      </c>
      <c r="Z243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43" s="22" t="str">
        <f aca="false">INDEX(tbl_Projects[Project_Manager],MATCH(tbl_Tasks_Clean[[#This Row],[Project_ID]],tbl_Projects[Project_ID],0))</f>
        <v>Nourhan Tarek</v>
      </c>
      <c r="AB243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44" customFormat="false" ht="14.25" hidden="false" customHeight="false" outlineLevel="0" collapsed="false">
      <c r="A244" s="22" t="s">
        <v>1149</v>
      </c>
      <c r="B244" s="22" t="s">
        <v>112</v>
      </c>
      <c r="C244" s="22" t="s">
        <v>113</v>
      </c>
      <c r="D244" s="22" t="s">
        <v>537</v>
      </c>
      <c r="E244" s="22" t="s">
        <v>44</v>
      </c>
      <c r="F244" s="22" t="s">
        <v>66</v>
      </c>
      <c r="G244" s="22" t="s">
        <v>206</v>
      </c>
      <c r="H244" s="22" t="s">
        <v>194</v>
      </c>
      <c r="I244" s="23" t="n">
        <v>45420</v>
      </c>
      <c r="J244" s="23" t="n">
        <v>45445</v>
      </c>
      <c r="K244" s="23" t="n">
        <v>45444</v>
      </c>
      <c r="L244" s="0" t="n">
        <v>4000</v>
      </c>
      <c r="M244" s="0" t="n">
        <v>5387</v>
      </c>
      <c r="N244" s="0" t="n">
        <v>25</v>
      </c>
      <c r="O244" s="0" t="n">
        <v>-1</v>
      </c>
      <c r="P244" s="22" t="s">
        <v>114</v>
      </c>
      <c r="Q244" s="22" t="s">
        <v>91</v>
      </c>
      <c r="R244" s="23" t="n">
        <v>45347</v>
      </c>
      <c r="S244" s="0" t="n">
        <v>120000</v>
      </c>
      <c r="T244" s="22" t="s">
        <v>65</v>
      </c>
      <c r="U244" s="22" t="s">
        <v>67</v>
      </c>
      <c r="V244" s="0" t="n">
        <v>250</v>
      </c>
      <c r="W244" s="0" t="n">
        <f aca="false">tbl_Tasks_Clean[[#This Row],[Actual_Cost]]-tbl_Tasks_Clean[[#This Row],[Planned_Cost]]</f>
        <v>1387</v>
      </c>
      <c r="X244" s="22" t="n">
        <f aca="false">IFERROR(tbl_Tasks_Clean[[#This Row],[Actual_Cost]]/tbl_Tasks_Clean[[#This Row],[Planned_Cost]],0)</f>
        <v>1.34675</v>
      </c>
      <c r="Y244" s="22" t="str">
        <f aca="false">IF(AND(tbl_Tasks_Clean[[#This Row],[Status]]="Completed",tbl_Tasks_Clean[[#This Row],[Delay_Days]]&lt;=0),"On Time","Late")</f>
        <v>Late</v>
      </c>
      <c r="Z244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44" s="22" t="str">
        <f aca="false">INDEX(tbl_Projects[Project_Manager],MATCH(tbl_Tasks_Clean[[#This Row],[Project_ID]],tbl_Projects[Project_ID],0))</f>
        <v>Mona Farid</v>
      </c>
      <c r="AB244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45" customFormat="false" ht="14.25" hidden="false" customHeight="false" outlineLevel="0" collapsed="false">
      <c r="A245" s="22" t="s">
        <v>1152</v>
      </c>
      <c r="B245" s="22" t="s">
        <v>125</v>
      </c>
      <c r="C245" s="22" t="s">
        <v>126</v>
      </c>
      <c r="D245" s="22" t="s">
        <v>1153</v>
      </c>
      <c r="E245" s="22" t="s">
        <v>63</v>
      </c>
      <c r="F245" s="22" t="s">
        <v>15</v>
      </c>
      <c r="G245" s="22" t="s">
        <v>175</v>
      </c>
      <c r="H245" s="22" t="s">
        <v>239</v>
      </c>
      <c r="I245" s="23" t="n">
        <v>45354</v>
      </c>
      <c r="J245" s="23" t="n">
        <v>45358</v>
      </c>
      <c r="K245" s="23" t="n">
        <v>45356</v>
      </c>
      <c r="L245" s="0" t="n">
        <v>1500</v>
      </c>
      <c r="M245" s="0" t="n">
        <v>2021</v>
      </c>
      <c r="N245" s="0" t="n">
        <v>4</v>
      </c>
      <c r="O245" s="0" t="n">
        <v>-2</v>
      </c>
      <c r="P245" s="22" t="s">
        <v>127</v>
      </c>
      <c r="Q245" s="22" t="s">
        <v>106</v>
      </c>
      <c r="R245" s="23" t="n">
        <v>45293</v>
      </c>
      <c r="S245" s="0" t="n">
        <v>100000</v>
      </c>
      <c r="T245" s="22" t="s">
        <v>14</v>
      </c>
      <c r="U245" s="22" t="s">
        <v>16</v>
      </c>
      <c r="V245" s="0" t="n">
        <v>180</v>
      </c>
      <c r="W245" s="0" t="n">
        <f aca="false">tbl_Tasks_Clean[[#This Row],[Actual_Cost]]-tbl_Tasks_Clean[[#This Row],[Planned_Cost]]</f>
        <v>521</v>
      </c>
      <c r="X245" s="22" t="n">
        <f aca="false">IFERROR(tbl_Tasks_Clean[[#This Row],[Actual_Cost]]/tbl_Tasks_Clean[[#This Row],[Planned_Cost]],0)</f>
        <v>1.34733333333333</v>
      </c>
      <c r="Y245" s="22" t="str">
        <f aca="false">IF(AND(tbl_Tasks_Clean[[#This Row],[Status]]="Completed",tbl_Tasks_Clean[[#This Row],[Delay_Days]]&lt;=0),"On Time","Late")</f>
        <v>On Time</v>
      </c>
      <c r="Z245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245" s="22" t="str">
        <f aca="false">INDEX(tbl_Projects[Project_Manager],MATCH(tbl_Tasks_Clean[[#This Row],[Project_ID]],tbl_Projects[Project_ID],0))</f>
        <v>Laila Samir</v>
      </c>
      <c r="AB245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46" customFormat="false" ht="14.25" hidden="false" customHeight="false" outlineLevel="0" collapsed="false">
      <c r="A246" s="22" t="s">
        <v>1155</v>
      </c>
      <c r="B246" s="22" t="s">
        <v>88</v>
      </c>
      <c r="C246" s="22" t="s">
        <v>89</v>
      </c>
      <c r="D246" s="22" t="s">
        <v>635</v>
      </c>
      <c r="E246" s="22" t="s">
        <v>7</v>
      </c>
      <c r="F246" s="22" t="s">
        <v>37</v>
      </c>
      <c r="G246" s="22" t="s">
        <v>275</v>
      </c>
      <c r="H246" s="22" t="s">
        <v>239</v>
      </c>
      <c r="I246" s="23" t="n">
        <v>45592</v>
      </c>
      <c r="J246" s="23" t="n">
        <v>45601</v>
      </c>
      <c r="K246" s="23" t="n">
        <v>45602</v>
      </c>
      <c r="L246" s="0" t="n">
        <v>3000</v>
      </c>
      <c r="M246" s="0" t="n">
        <v>2378</v>
      </c>
      <c r="N246" s="0" t="n">
        <v>9</v>
      </c>
      <c r="O246" s="0" t="n">
        <v>1</v>
      </c>
      <c r="P246" s="22" t="s">
        <v>90</v>
      </c>
      <c r="Q246" s="22" t="s">
        <v>91</v>
      </c>
      <c r="R246" s="23" t="n">
        <v>45455</v>
      </c>
      <c r="S246" s="0" t="n">
        <v>75000</v>
      </c>
      <c r="T246" s="22" t="s">
        <v>36</v>
      </c>
      <c r="U246" s="22" t="s">
        <v>38</v>
      </c>
      <c r="V246" s="0" t="n">
        <v>280</v>
      </c>
      <c r="W246" s="0" t="n">
        <f aca="false">tbl_Tasks_Clean[[#This Row],[Actual_Cost]]-tbl_Tasks_Clean[[#This Row],[Planned_Cost]]</f>
        <v>-622</v>
      </c>
      <c r="X246" s="22" t="n">
        <f aca="false">IFERROR(tbl_Tasks_Clean[[#This Row],[Actual_Cost]]/tbl_Tasks_Clean[[#This Row],[Planned_Cost]],0)</f>
        <v>0.792666666666667</v>
      </c>
      <c r="Y246" s="22" t="str">
        <f aca="false">IF(AND(tbl_Tasks_Clean[[#This Row],[Status]]="Completed",tbl_Tasks_Clean[[#This Row],[Delay_Days]]&lt;=0),"On Time","Late")</f>
        <v>Late</v>
      </c>
      <c r="Z246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46" s="22" t="str">
        <f aca="false">INDEX(tbl_Projects[Project_Manager],MATCH(tbl_Tasks_Clean[[#This Row],[Project_ID]],tbl_Projects[Project_ID],0))</f>
        <v>Mona Farid</v>
      </c>
      <c r="AB246" s="22" t="str">
        <f aca="false">IF(tbl_Tasks_Clean[[#This Row],[Delay_Days]]&gt;0,"Delayed by "&amp;TEXT(DATEDIF(tbl_Tasks_Clean[[#This Row],[Planned_End_Date]],tbl_Tasks_Clean[[#This Row],[Actual_End_Date]],"d"),"0")&amp;" days","No delay")</f>
        <v>Delayed by 1 days</v>
      </c>
    </row>
    <row r="247" customFormat="false" ht="14.25" hidden="false" customHeight="false" outlineLevel="0" collapsed="false">
      <c r="A247" s="22" t="s">
        <v>1158</v>
      </c>
      <c r="B247" s="22" t="s">
        <v>108</v>
      </c>
      <c r="C247" s="22" t="s">
        <v>109</v>
      </c>
      <c r="D247" s="22" t="s">
        <v>486</v>
      </c>
      <c r="E247" s="22" t="s">
        <v>34</v>
      </c>
      <c r="F247" s="22" t="s">
        <v>79</v>
      </c>
      <c r="G247" s="22" t="s">
        <v>175</v>
      </c>
      <c r="H247" s="22" t="s">
        <v>239</v>
      </c>
      <c r="I247" s="23" t="n">
        <v>45434</v>
      </c>
      <c r="J247" s="23" t="n">
        <v>45448</v>
      </c>
      <c r="K247" s="23" t="n">
        <v>45445</v>
      </c>
      <c r="L247" s="0" t="n">
        <v>8000</v>
      </c>
      <c r="M247" s="0" t="n">
        <v>8647</v>
      </c>
      <c r="N247" s="0" t="n">
        <v>14</v>
      </c>
      <c r="O247" s="0" t="n">
        <v>-3</v>
      </c>
      <c r="P247" s="22" t="s">
        <v>110</v>
      </c>
      <c r="Q247" s="22" t="s">
        <v>101</v>
      </c>
      <c r="R247" s="23" t="n">
        <v>45300</v>
      </c>
      <c r="S247" s="0" t="n">
        <v>50000</v>
      </c>
      <c r="T247" s="22" t="s">
        <v>78</v>
      </c>
      <c r="U247" s="22" t="s">
        <v>77</v>
      </c>
      <c r="V247" s="0" t="n">
        <v>250</v>
      </c>
      <c r="W247" s="0" t="n">
        <f aca="false">tbl_Tasks_Clean[[#This Row],[Actual_Cost]]-tbl_Tasks_Clean[[#This Row],[Planned_Cost]]</f>
        <v>647</v>
      </c>
      <c r="X247" s="22" t="n">
        <f aca="false">IFERROR(tbl_Tasks_Clean[[#This Row],[Actual_Cost]]/tbl_Tasks_Clean[[#This Row],[Planned_Cost]],0)</f>
        <v>1.080875</v>
      </c>
      <c r="Y247" s="22" t="str">
        <f aca="false">IF(AND(tbl_Tasks_Clean[[#This Row],[Status]]="Completed",tbl_Tasks_Clean[[#This Row],[Delay_Days]]&lt;=0),"On Time","Late")</f>
        <v>On Time</v>
      </c>
      <c r="Z247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47" s="22" t="str">
        <f aca="false">INDEX(tbl_Projects[Project_Manager],MATCH(tbl_Tasks_Clean[[#This Row],[Project_ID]],tbl_Projects[Project_ID],0))</f>
        <v>Ahmed Nabil</v>
      </c>
      <c r="AB247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48" customFormat="false" ht="14.25" hidden="false" customHeight="false" outlineLevel="0" collapsed="false">
      <c r="A248" s="22" t="s">
        <v>1161</v>
      </c>
      <c r="B248" s="22" t="s">
        <v>129</v>
      </c>
      <c r="C248" s="22" t="s">
        <v>130</v>
      </c>
      <c r="D248" s="22" t="s">
        <v>1162</v>
      </c>
      <c r="E248" s="22" t="s">
        <v>21</v>
      </c>
      <c r="F248" s="22" t="s">
        <v>81</v>
      </c>
      <c r="G248" s="22" t="s">
        <v>206</v>
      </c>
      <c r="H248" s="22" t="s">
        <v>212</v>
      </c>
      <c r="I248" s="23" t="n">
        <v>45527</v>
      </c>
      <c r="J248" s="23" t="n">
        <v>45533</v>
      </c>
      <c r="K248" s="23"/>
      <c r="L248" s="0" t="n">
        <v>8000</v>
      </c>
      <c r="M248" s="0" t="n">
        <v>2241</v>
      </c>
      <c r="N248" s="0" t="n">
        <v>6</v>
      </c>
      <c r="O248" s="0" t="n">
        <v>0</v>
      </c>
      <c r="P248" s="22" t="s">
        <v>118</v>
      </c>
      <c r="Q248" s="22" t="s">
        <v>131</v>
      </c>
      <c r="R248" s="23" t="n">
        <v>45379</v>
      </c>
      <c r="S248" s="0" t="n">
        <v>150000</v>
      </c>
      <c r="T248" s="22" t="s">
        <v>80</v>
      </c>
      <c r="U248" s="22" t="s">
        <v>77</v>
      </c>
      <c r="V248" s="0" t="n">
        <v>200</v>
      </c>
      <c r="W248" s="0" t="n">
        <f aca="false">tbl_Tasks_Clean[[#This Row],[Actual_Cost]]-tbl_Tasks_Clean[[#This Row],[Planned_Cost]]</f>
        <v>-5759</v>
      </c>
      <c r="X248" s="22" t="n">
        <f aca="false">IFERROR(tbl_Tasks_Clean[[#This Row],[Actual_Cost]]/tbl_Tasks_Clean[[#This Row],[Planned_Cost]],0)</f>
        <v>0.280125</v>
      </c>
      <c r="Y248" s="22" t="str">
        <f aca="false">IF(AND(tbl_Tasks_Clean[[#This Row],[Status]]="Completed",tbl_Tasks_Clean[[#This Row],[Delay_Days]]&lt;=0),"On Time","Late")</f>
        <v>Late</v>
      </c>
      <c r="Z248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248" s="22" t="str">
        <f aca="false">INDEX(tbl_Projects[Project_Manager],MATCH(tbl_Tasks_Clean[[#This Row],[Project_ID]],tbl_Projects[Project_ID],0))</f>
        <v>Sara Hassan</v>
      </c>
      <c r="AB248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49" customFormat="false" ht="14.25" hidden="false" customHeight="false" outlineLevel="0" collapsed="false">
      <c r="A249" s="22" t="s">
        <v>1165</v>
      </c>
      <c r="B249" s="22" t="s">
        <v>140</v>
      </c>
      <c r="C249" s="22" t="s">
        <v>141</v>
      </c>
      <c r="D249" s="22" t="s">
        <v>1116</v>
      </c>
      <c r="E249" s="22" t="s">
        <v>34</v>
      </c>
      <c r="F249" s="22" t="s">
        <v>10</v>
      </c>
      <c r="G249" s="22" t="s">
        <v>206</v>
      </c>
      <c r="H249" s="22" t="s">
        <v>201</v>
      </c>
      <c r="I249" s="23" t="n">
        <v>45467</v>
      </c>
      <c r="J249" s="23" t="n">
        <v>45484</v>
      </c>
      <c r="K249" s="23"/>
      <c r="L249" s="0" t="n">
        <v>2000</v>
      </c>
      <c r="M249" s="0" t="n">
        <v>0</v>
      </c>
      <c r="N249" s="0" t="n">
        <v>17</v>
      </c>
      <c r="O249" s="0" t="n">
        <v>0</v>
      </c>
      <c r="P249" s="22" t="s">
        <v>118</v>
      </c>
      <c r="Q249" s="22" t="s">
        <v>123</v>
      </c>
      <c r="R249" s="23" t="n">
        <v>45383</v>
      </c>
      <c r="S249" s="0" t="n">
        <v>200000</v>
      </c>
      <c r="T249" s="22" t="s">
        <v>9</v>
      </c>
      <c r="U249" s="22" t="s">
        <v>8</v>
      </c>
      <c r="V249" s="0" t="n">
        <v>220</v>
      </c>
      <c r="W249" s="0" t="n">
        <f aca="false">tbl_Tasks_Clean[[#This Row],[Actual_Cost]]-tbl_Tasks_Clean[[#This Row],[Planned_Cost]]</f>
        <v>-2000</v>
      </c>
      <c r="X249" s="22" t="n">
        <f aca="false">IFERROR(tbl_Tasks_Clean[[#This Row],[Actual_Cost]]/tbl_Tasks_Clean[[#This Row],[Planned_Cost]],0)</f>
        <v>0</v>
      </c>
      <c r="Y249" s="22" t="str">
        <f aca="false">IF(AND(tbl_Tasks_Clean[[#This Row],[Status]]="Completed",tbl_Tasks_Clean[[#This Row],[Delay_Days]]&lt;=0),"On Time","Late")</f>
        <v>Late</v>
      </c>
      <c r="Z249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49" s="22" t="str">
        <f aca="false">INDEX(tbl_Projects[Project_Manager],MATCH(tbl_Tasks_Clean[[#This Row],[Project_ID]],tbl_Projects[Project_ID],0))</f>
        <v>Nourhan Tarek</v>
      </c>
      <c r="AB249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50" customFormat="false" ht="14.25" hidden="false" customHeight="false" outlineLevel="0" collapsed="false">
      <c r="A250" s="22" t="s">
        <v>1166</v>
      </c>
      <c r="B250" s="22" t="s">
        <v>88</v>
      </c>
      <c r="C250" s="22" t="s">
        <v>89</v>
      </c>
      <c r="D250" s="22" t="s">
        <v>1167</v>
      </c>
      <c r="E250" s="22" t="s">
        <v>7</v>
      </c>
      <c r="F250" s="22" t="s">
        <v>62</v>
      </c>
      <c r="G250" s="22" t="s">
        <v>275</v>
      </c>
      <c r="H250" s="22" t="s">
        <v>239</v>
      </c>
      <c r="I250" s="23" t="n">
        <v>45576</v>
      </c>
      <c r="J250" s="23" t="n">
        <v>45596</v>
      </c>
      <c r="K250" s="23" t="n">
        <v>45594</v>
      </c>
      <c r="L250" s="0" t="n">
        <v>3000</v>
      </c>
      <c r="M250" s="0" t="n">
        <v>3208</v>
      </c>
      <c r="N250" s="0" t="n">
        <v>20</v>
      </c>
      <c r="O250" s="0" t="n">
        <v>-2</v>
      </c>
      <c r="P250" s="22" t="s">
        <v>90</v>
      </c>
      <c r="Q250" s="22" t="s">
        <v>91</v>
      </c>
      <c r="R250" s="23" t="n">
        <v>45455</v>
      </c>
      <c r="S250" s="0" t="n">
        <v>75000</v>
      </c>
      <c r="T250" s="22" t="s">
        <v>61</v>
      </c>
      <c r="U250" s="22" t="s">
        <v>64</v>
      </c>
      <c r="V250" s="0" t="n">
        <v>150</v>
      </c>
      <c r="W250" s="0" t="n">
        <f aca="false">tbl_Tasks_Clean[[#This Row],[Actual_Cost]]-tbl_Tasks_Clean[[#This Row],[Planned_Cost]]</f>
        <v>208</v>
      </c>
      <c r="X250" s="22" t="n">
        <f aca="false">IFERROR(tbl_Tasks_Clean[[#This Row],[Actual_Cost]]/tbl_Tasks_Clean[[#This Row],[Planned_Cost]],0)</f>
        <v>1.06933333333333</v>
      </c>
      <c r="Y250" s="22" t="str">
        <f aca="false">IF(AND(tbl_Tasks_Clean[[#This Row],[Status]]="Completed",tbl_Tasks_Clean[[#This Row],[Delay_Days]]&lt;=0),"On Time","Late")</f>
        <v>On Time</v>
      </c>
      <c r="Z250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50" s="22" t="str">
        <f aca="false">INDEX(tbl_Projects[Project_Manager],MATCH(tbl_Tasks_Clean[[#This Row],[Project_ID]],tbl_Projects[Project_ID],0))</f>
        <v>Mona Farid</v>
      </c>
      <c r="AB250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51" customFormat="false" ht="14.25" hidden="false" customHeight="false" outlineLevel="0" collapsed="false">
      <c r="A251" s="22" t="s">
        <v>1170</v>
      </c>
      <c r="B251" s="22" t="s">
        <v>136</v>
      </c>
      <c r="C251" s="22" t="s">
        <v>137</v>
      </c>
      <c r="D251" s="22" t="s">
        <v>550</v>
      </c>
      <c r="E251" s="22" t="s">
        <v>21</v>
      </c>
      <c r="F251" s="22" t="s">
        <v>50</v>
      </c>
      <c r="G251" s="22" t="s">
        <v>206</v>
      </c>
      <c r="H251" s="22" t="s">
        <v>212</v>
      </c>
      <c r="I251" s="23" t="n">
        <v>45395</v>
      </c>
      <c r="J251" s="23" t="n">
        <v>45425</v>
      </c>
      <c r="K251" s="23"/>
      <c r="L251" s="0" t="n">
        <v>2000</v>
      </c>
      <c r="M251" s="0" t="n">
        <v>1335</v>
      </c>
      <c r="N251" s="0" t="n">
        <v>30</v>
      </c>
      <c r="O251" s="0" t="n">
        <v>0</v>
      </c>
      <c r="P251" s="22" t="s">
        <v>138</v>
      </c>
      <c r="Q251" s="22" t="s">
        <v>101</v>
      </c>
      <c r="R251" s="23" t="n">
        <v>45315</v>
      </c>
      <c r="S251" s="0" t="n">
        <v>250000</v>
      </c>
      <c r="T251" s="22" t="s">
        <v>49</v>
      </c>
      <c r="U251" s="22" t="s">
        <v>51</v>
      </c>
      <c r="V251" s="0" t="n">
        <v>300</v>
      </c>
      <c r="W251" s="0" t="n">
        <f aca="false">tbl_Tasks_Clean[[#This Row],[Actual_Cost]]-tbl_Tasks_Clean[[#This Row],[Planned_Cost]]</f>
        <v>-665</v>
      </c>
      <c r="X251" s="22" t="n">
        <f aca="false">IFERROR(tbl_Tasks_Clean[[#This Row],[Actual_Cost]]/tbl_Tasks_Clean[[#This Row],[Planned_Cost]],0)</f>
        <v>0.6675</v>
      </c>
      <c r="Y251" s="22" t="str">
        <f aca="false">IF(AND(tbl_Tasks_Clean[[#This Row],[Status]]="Completed",tbl_Tasks_Clean[[#This Row],[Delay_Days]]&lt;=0),"On Time","Late")</f>
        <v>Late</v>
      </c>
      <c r="Z251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51" s="22" t="str">
        <f aca="false">INDEX(tbl_Projects[Project_Manager],MATCH(tbl_Tasks_Clean[[#This Row],[Project_ID]],tbl_Projects[Project_ID],0))</f>
        <v>Ahmed Nabil</v>
      </c>
      <c r="AB251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52" customFormat="false" ht="14.25" hidden="false" customHeight="false" outlineLevel="0" collapsed="false">
      <c r="A252" s="22" t="s">
        <v>1173</v>
      </c>
      <c r="B252" s="22" t="s">
        <v>129</v>
      </c>
      <c r="C252" s="22" t="s">
        <v>130</v>
      </c>
      <c r="D252" s="22" t="s">
        <v>1019</v>
      </c>
      <c r="E252" s="22" t="s">
        <v>7</v>
      </c>
      <c r="F252" s="22" t="s">
        <v>18</v>
      </c>
      <c r="G252" s="22" t="s">
        <v>275</v>
      </c>
      <c r="H252" s="22" t="s">
        <v>239</v>
      </c>
      <c r="I252" s="23" t="n">
        <v>45467</v>
      </c>
      <c r="J252" s="23" t="n">
        <v>45486</v>
      </c>
      <c r="K252" s="23" t="n">
        <v>45487</v>
      </c>
      <c r="L252" s="0" t="n">
        <v>3000</v>
      </c>
      <c r="M252" s="0" t="n">
        <v>2451</v>
      </c>
      <c r="N252" s="0" t="n">
        <v>19</v>
      </c>
      <c r="O252" s="0" t="n">
        <v>1</v>
      </c>
      <c r="P252" s="22" t="s">
        <v>118</v>
      </c>
      <c r="Q252" s="22" t="s">
        <v>131</v>
      </c>
      <c r="R252" s="23" t="n">
        <v>45379</v>
      </c>
      <c r="S252" s="0" t="n">
        <v>150000</v>
      </c>
      <c r="T252" s="22" t="s">
        <v>17</v>
      </c>
      <c r="U252" s="22" t="s">
        <v>8</v>
      </c>
      <c r="V252" s="0" t="n">
        <v>220</v>
      </c>
      <c r="W252" s="0" t="n">
        <f aca="false">tbl_Tasks_Clean[[#This Row],[Actual_Cost]]-tbl_Tasks_Clean[[#This Row],[Planned_Cost]]</f>
        <v>-549</v>
      </c>
      <c r="X252" s="22" t="n">
        <f aca="false">IFERROR(tbl_Tasks_Clean[[#This Row],[Actual_Cost]]/tbl_Tasks_Clean[[#This Row],[Planned_Cost]],0)</f>
        <v>0.817</v>
      </c>
      <c r="Y252" s="22" t="str">
        <f aca="false">IF(AND(tbl_Tasks_Clean[[#This Row],[Status]]="Completed",tbl_Tasks_Clean[[#This Row],[Delay_Days]]&lt;=0),"On Time","Late")</f>
        <v>Late</v>
      </c>
      <c r="Z252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52" s="22" t="str">
        <f aca="false">INDEX(tbl_Projects[Project_Manager],MATCH(tbl_Tasks_Clean[[#This Row],[Project_ID]],tbl_Projects[Project_ID],0))</f>
        <v>Sara Hassan</v>
      </c>
      <c r="AB252" s="22" t="str">
        <f aca="false">IF(tbl_Tasks_Clean[[#This Row],[Delay_Days]]&gt;0,"Delayed by "&amp;TEXT(DATEDIF(tbl_Tasks_Clean[[#This Row],[Planned_End_Date]],tbl_Tasks_Clean[[#This Row],[Actual_End_Date]],"d"),"0")&amp;" days","No delay")</f>
        <v>Delayed by 1 days</v>
      </c>
    </row>
    <row r="253" customFormat="false" ht="14.25" hidden="false" customHeight="false" outlineLevel="0" collapsed="false">
      <c r="A253" s="22" t="s">
        <v>1177</v>
      </c>
      <c r="B253" s="22" t="s">
        <v>116</v>
      </c>
      <c r="C253" s="22" t="s">
        <v>117</v>
      </c>
      <c r="D253" s="22" t="s">
        <v>725</v>
      </c>
      <c r="E253" s="22" t="s">
        <v>21</v>
      </c>
      <c r="F253" s="22" t="s">
        <v>37</v>
      </c>
      <c r="G253" s="22" t="s">
        <v>206</v>
      </c>
      <c r="H253" s="22" t="s">
        <v>212</v>
      </c>
      <c r="I253" s="23" t="n">
        <v>45531</v>
      </c>
      <c r="J253" s="23" t="n">
        <v>45536</v>
      </c>
      <c r="K253" s="23"/>
      <c r="L253" s="0" t="n">
        <v>8000</v>
      </c>
      <c r="M253" s="0" t="n">
        <v>2238</v>
      </c>
      <c r="N253" s="0" t="n">
        <v>5</v>
      </c>
      <c r="O253" s="0" t="n">
        <v>0</v>
      </c>
      <c r="P253" s="22" t="s">
        <v>118</v>
      </c>
      <c r="Q253" s="22" t="s">
        <v>106</v>
      </c>
      <c r="R253" s="23" t="n">
        <v>45435</v>
      </c>
      <c r="S253" s="0" t="n">
        <v>120000</v>
      </c>
      <c r="T253" s="22" t="s">
        <v>36</v>
      </c>
      <c r="U253" s="22" t="s">
        <v>38</v>
      </c>
      <c r="V253" s="0" t="n">
        <v>280</v>
      </c>
      <c r="W253" s="0" t="n">
        <f aca="false">tbl_Tasks_Clean[[#This Row],[Actual_Cost]]-tbl_Tasks_Clean[[#This Row],[Planned_Cost]]</f>
        <v>-5762</v>
      </c>
      <c r="X253" s="22" t="n">
        <f aca="false">IFERROR(tbl_Tasks_Clean[[#This Row],[Actual_Cost]]/tbl_Tasks_Clean[[#This Row],[Planned_Cost]],0)</f>
        <v>0.27975</v>
      </c>
      <c r="Y253" s="22" t="str">
        <f aca="false">IF(AND(tbl_Tasks_Clean[[#This Row],[Status]]="Completed",tbl_Tasks_Clean[[#This Row],[Delay_Days]]&lt;=0),"On Time","Late")</f>
        <v>Late</v>
      </c>
      <c r="Z253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253" s="22" t="str">
        <f aca="false">INDEX(tbl_Projects[Project_Manager],MATCH(tbl_Tasks_Clean[[#This Row],[Project_ID]],tbl_Projects[Project_ID],0))</f>
        <v>Laila Samir</v>
      </c>
      <c r="AB253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54" customFormat="false" ht="14.25" hidden="false" customHeight="false" outlineLevel="0" collapsed="false">
      <c r="A254" s="22" t="s">
        <v>1179</v>
      </c>
      <c r="B254" s="22" t="s">
        <v>120</v>
      </c>
      <c r="C254" s="22" t="s">
        <v>121</v>
      </c>
      <c r="D254" s="22" t="s">
        <v>1180</v>
      </c>
      <c r="E254" s="22" t="s">
        <v>63</v>
      </c>
      <c r="F254" s="22" t="s">
        <v>33</v>
      </c>
      <c r="G254" s="22" t="s">
        <v>275</v>
      </c>
      <c r="H254" s="22" t="s">
        <v>201</v>
      </c>
      <c r="I254" s="23" t="n">
        <v>45459</v>
      </c>
      <c r="J254" s="23" t="n">
        <v>45469</v>
      </c>
      <c r="K254" s="23"/>
      <c r="L254" s="0" t="n">
        <v>1500</v>
      </c>
      <c r="M254" s="0" t="n">
        <v>0</v>
      </c>
      <c r="N254" s="0" t="n">
        <v>10</v>
      </c>
      <c r="O254" s="0" t="n">
        <v>0</v>
      </c>
      <c r="P254" s="22" t="s">
        <v>122</v>
      </c>
      <c r="Q254" s="22" t="s">
        <v>123</v>
      </c>
      <c r="R254" s="23" t="n">
        <v>45348</v>
      </c>
      <c r="S254" s="0" t="n">
        <v>300000</v>
      </c>
      <c r="T254" s="22" t="s">
        <v>32</v>
      </c>
      <c r="U254" s="22" t="s">
        <v>35</v>
      </c>
      <c r="V254" s="0" t="n">
        <v>250</v>
      </c>
      <c r="W254" s="0" t="n">
        <f aca="false">tbl_Tasks_Clean[[#This Row],[Actual_Cost]]-tbl_Tasks_Clean[[#This Row],[Planned_Cost]]</f>
        <v>-1500</v>
      </c>
      <c r="X254" s="22" t="n">
        <f aca="false">IFERROR(tbl_Tasks_Clean[[#This Row],[Actual_Cost]]/tbl_Tasks_Clean[[#This Row],[Planned_Cost]],0)</f>
        <v>0</v>
      </c>
      <c r="Y254" s="22" t="str">
        <f aca="false">IF(AND(tbl_Tasks_Clean[[#This Row],[Status]]="Completed",tbl_Tasks_Clean[[#This Row],[Delay_Days]]&lt;=0),"On Time","Late")</f>
        <v>Late</v>
      </c>
      <c r="Z254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54" s="22" t="str">
        <f aca="false">INDEX(tbl_Projects[Project_Manager],MATCH(tbl_Tasks_Clean[[#This Row],[Project_ID]],tbl_Projects[Project_ID],0))</f>
        <v>Nourhan Tarek</v>
      </c>
      <c r="AB254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55" customFormat="false" ht="14.25" hidden="false" customHeight="false" outlineLevel="0" collapsed="false">
      <c r="A255" s="22" t="s">
        <v>1181</v>
      </c>
      <c r="B255" s="22" t="s">
        <v>136</v>
      </c>
      <c r="C255" s="22" t="s">
        <v>137</v>
      </c>
      <c r="D255" s="22" t="s">
        <v>525</v>
      </c>
      <c r="E255" s="22" t="s">
        <v>34</v>
      </c>
      <c r="F255" s="22" t="s">
        <v>73</v>
      </c>
      <c r="G255" s="22" t="s">
        <v>175</v>
      </c>
      <c r="H255" s="22" t="s">
        <v>239</v>
      </c>
      <c r="I255" s="23" t="n">
        <v>45400</v>
      </c>
      <c r="J255" s="23" t="n">
        <v>45423</v>
      </c>
      <c r="K255" s="23" t="n">
        <v>45420</v>
      </c>
      <c r="L255" s="0" t="n">
        <v>2500</v>
      </c>
      <c r="M255" s="0" t="n">
        <v>2372</v>
      </c>
      <c r="N255" s="0" t="n">
        <v>23</v>
      </c>
      <c r="O255" s="0" t="n">
        <v>-3</v>
      </c>
      <c r="P255" s="22" t="s">
        <v>138</v>
      </c>
      <c r="Q255" s="22" t="s">
        <v>101</v>
      </c>
      <c r="R255" s="23" t="n">
        <v>45315</v>
      </c>
      <c r="S255" s="0" t="n">
        <v>250000</v>
      </c>
      <c r="T255" s="22" t="s">
        <v>72</v>
      </c>
      <c r="U255" s="22" t="s">
        <v>67</v>
      </c>
      <c r="V255" s="0" t="n">
        <v>200</v>
      </c>
      <c r="W255" s="0" t="n">
        <f aca="false">tbl_Tasks_Clean[[#This Row],[Actual_Cost]]-tbl_Tasks_Clean[[#This Row],[Planned_Cost]]</f>
        <v>-128</v>
      </c>
      <c r="X255" s="22" t="n">
        <f aca="false">IFERROR(tbl_Tasks_Clean[[#This Row],[Actual_Cost]]/tbl_Tasks_Clean[[#This Row],[Planned_Cost]],0)</f>
        <v>0.9488</v>
      </c>
      <c r="Y255" s="22" t="str">
        <f aca="false">IF(AND(tbl_Tasks_Clean[[#This Row],[Status]]="Completed",tbl_Tasks_Clean[[#This Row],[Delay_Days]]&lt;=0),"On Time","Late")</f>
        <v>On Time</v>
      </c>
      <c r="Z255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55" s="22" t="str">
        <f aca="false">INDEX(tbl_Projects[Project_Manager],MATCH(tbl_Tasks_Clean[[#This Row],[Project_ID]],tbl_Projects[Project_ID],0))</f>
        <v>Ahmed Nabil</v>
      </c>
      <c r="AB255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56" customFormat="false" ht="14.25" hidden="false" customHeight="false" outlineLevel="0" collapsed="false">
      <c r="A256" s="22" t="s">
        <v>1183</v>
      </c>
      <c r="B256" s="22" t="s">
        <v>147</v>
      </c>
      <c r="C256" s="22" t="s">
        <v>148</v>
      </c>
      <c r="D256" s="22" t="s">
        <v>1381</v>
      </c>
      <c r="E256" s="22" t="s">
        <v>44</v>
      </c>
      <c r="F256" s="22" t="s">
        <v>79</v>
      </c>
      <c r="G256" s="22" t="s">
        <v>275</v>
      </c>
      <c r="H256" s="22" t="s">
        <v>212</v>
      </c>
      <c r="I256" s="23" t="n">
        <v>45443</v>
      </c>
      <c r="J256" s="23" t="n">
        <v>45456</v>
      </c>
      <c r="K256" s="23"/>
      <c r="L256" s="0" t="n">
        <v>5000</v>
      </c>
      <c r="M256" s="0" t="n">
        <v>1935</v>
      </c>
      <c r="N256" s="0" t="n">
        <v>13</v>
      </c>
      <c r="O256" s="0" t="n">
        <v>0</v>
      </c>
      <c r="P256" s="22" t="s">
        <v>118</v>
      </c>
      <c r="Q256" s="22" t="s">
        <v>123</v>
      </c>
      <c r="R256" s="23" t="n">
        <v>45388</v>
      </c>
      <c r="S256" s="0" t="n">
        <v>75000</v>
      </c>
      <c r="T256" s="22" t="s">
        <v>78</v>
      </c>
      <c r="U256" s="22" t="s">
        <v>77</v>
      </c>
      <c r="V256" s="0" t="n">
        <v>250</v>
      </c>
      <c r="W256" s="0" t="n">
        <f aca="false">tbl_Tasks_Clean[[#This Row],[Actual_Cost]]-tbl_Tasks_Clean[[#This Row],[Planned_Cost]]</f>
        <v>-3065</v>
      </c>
      <c r="X256" s="22" t="n">
        <f aca="false">IFERROR(tbl_Tasks_Clean[[#This Row],[Actual_Cost]]/tbl_Tasks_Clean[[#This Row],[Planned_Cost]],0)</f>
        <v>0.387</v>
      </c>
      <c r="Y256" s="22" t="str">
        <f aca="false">IF(AND(tbl_Tasks_Clean[[#This Row],[Status]]="Completed",tbl_Tasks_Clean[[#This Row],[Delay_Days]]&lt;=0),"On Time","Late")</f>
        <v>Late</v>
      </c>
      <c r="Z256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56" s="22" t="str">
        <f aca="false">INDEX(tbl_Projects[Project_Manager],MATCH(tbl_Tasks_Clean[[#This Row],[Project_ID]],tbl_Projects[Project_ID],0))</f>
        <v>Nourhan Tarek</v>
      </c>
      <c r="AB256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57" customFormat="false" ht="14.25" hidden="false" customHeight="false" outlineLevel="0" collapsed="false">
      <c r="A257" s="22" t="s">
        <v>1186</v>
      </c>
      <c r="B257" s="22" t="s">
        <v>143</v>
      </c>
      <c r="C257" s="22" t="s">
        <v>144</v>
      </c>
      <c r="D257" s="22" t="s">
        <v>417</v>
      </c>
      <c r="E257" s="22" t="s">
        <v>44</v>
      </c>
      <c r="F257" s="22" t="s">
        <v>18</v>
      </c>
      <c r="G257" s="22" t="s">
        <v>275</v>
      </c>
      <c r="H257" s="22" t="s">
        <v>201</v>
      </c>
      <c r="I257" s="23" t="n">
        <v>45373</v>
      </c>
      <c r="J257" s="23" t="n">
        <v>45402</v>
      </c>
      <c r="K257" s="23"/>
      <c r="L257" s="0" t="n">
        <v>4000</v>
      </c>
      <c r="M257" s="0" t="n">
        <v>0</v>
      </c>
      <c r="N257" s="0" t="n">
        <v>29</v>
      </c>
      <c r="O257" s="0" t="n">
        <v>0</v>
      </c>
      <c r="P257" s="22" t="s">
        <v>145</v>
      </c>
      <c r="Q257" s="22" t="s">
        <v>101</v>
      </c>
      <c r="R257" s="23" t="n">
        <v>45303</v>
      </c>
      <c r="S257" s="0" t="n">
        <v>300000</v>
      </c>
      <c r="T257" s="22" t="s">
        <v>17</v>
      </c>
      <c r="U257" s="22" t="s">
        <v>8</v>
      </c>
      <c r="V257" s="0" t="n">
        <v>220</v>
      </c>
      <c r="W257" s="0" t="n">
        <f aca="false">tbl_Tasks_Clean[[#This Row],[Actual_Cost]]-tbl_Tasks_Clean[[#This Row],[Planned_Cost]]</f>
        <v>-4000</v>
      </c>
      <c r="X257" s="22" t="n">
        <f aca="false">IFERROR(tbl_Tasks_Clean[[#This Row],[Actual_Cost]]/tbl_Tasks_Clean[[#This Row],[Planned_Cost]],0)</f>
        <v>0</v>
      </c>
      <c r="Y257" s="22" t="str">
        <f aca="false">IF(AND(tbl_Tasks_Clean[[#This Row],[Status]]="Completed",tbl_Tasks_Clean[[#This Row],[Delay_Days]]&lt;=0),"On Time","Late")</f>
        <v>Late</v>
      </c>
      <c r="Z257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57" s="22" t="str">
        <f aca="false">INDEX(tbl_Projects[Project_Manager],MATCH(tbl_Tasks_Clean[[#This Row],[Project_ID]],tbl_Projects[Project_ID],0))</f>
        <v>Ahmed Nabil</v>
      </c>
      <c r="AB257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58" customFormat="false" ht="14.25" hidden="false" customHeight="false" outlineLevel="0" collapsed="false">
      <c r="A258" s="22" t="s">
        <v>1189</v>
      </c>
      <c r="B258" s="22" t="s">
        <v>93</v>
      </c>
      <c r="C258" s="22" t="s">
        <v>94</v>
      </c>
      <c r="D258" s="22" t="s">
        <v>1084</v>
      </c>
      <c r="E258" s="22" t="s">
        <v>34</v>
      </c>
      <c r="F258" s="22" t="s">
        <v>73</v>
      </c>
      <c r="G258" s="22" t="s">
        <v>206</v>
      </c>
      <c r="H258" s="22" t="s">
        <v>194</v>
      </c>
      <c r="I258" s="23" t="n">
        <v>45597</v>
      </c>
      <c r="J258" s="23" t="n">
        <v>45608</v>
      </c>
      <c r="K258" s="23" t="n">
        <v>45614</v>
      </c>
      <c r="L258" s="0" t="n">
        <v>3000</v>
      </c>
      <c r="M258" s="0" t="n">
        <v>2584</v>
      </c>
      <c r="N258" s="0" t="n">
        <v>11</v>
      </c>
      <c r="O258" s="0" t="n">
        <v>6</v>
      </c>
      <c r="P258" s="22" t="s">
        <v>95</v>
      </c>
      <c r="Q258" s="22" t="s">
        <v>96</v>
      </c>
      <c r="R258" s="23" t="n">
        <v>45481</v>
      </c>
      <c r="S258" s="0" t="n">
        <v>150000</v>
      </c>
      <c r="T258" s="22" t="s">
        <v>72</v>
      </c>
      <c r="U258" s="22" t="s">
        <v>67</v>
      </c>
      <c r="V258" s="0" t="n">
        <v>200</v>
      </c>
      <c r="W258" s="0" t="n">
        <f aca="false">tbl_Tasks_Clean[[#This Row],[Actual_Cost]]-tbl_Tasks_Clean[[#This Row],[Planned_Cost]]</f>
        <v>-416</v>
      </c>
      <c r="X258" s="22" t="n">
        <f aca="false">IFERROR(tbl_Tasks_Clean[[#This Row],[Actual_Cost]]/tbl_Tasks_Clean[[#This Row],[Planned_Cost]],0)</f>
        <v>0.861333333333333</v>
      </c>
      <c r="Y258" s="22" t="str">
        <f aca="false">IF(AND(tbl_Tasks_Clean[[#This Row],[Status]]="Completed",tbl_Tasks_Clean[[#This Row],[Delay_Days]]&lt;=0),"On Time","Late")</f>
        <v>Late</v>
      </c>
      <c r="Z258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58" s="22" t="str">
        <f aca="false">INDEX(tbl_Projects[Project_Manager],MATCH(tbl_Tasks_Clean[[#This Row],[Project_ID]],tbl_Projects[Project_ID],0))</f>
        <v>Youssef Adel</v>
      </c>
      <c r="AB258" s="22" t="str">
        <f aca="false">IF(tbl_Tasks_Clean[[#This Row],[Delay_Days]]&gt;0,"Delayed by "&amp;TEXT(DATEDIF(tbl_Tasks_Clean[[#This Row],[Planned_End_Date]],tbl_Tasks_Clean[[#This Row],[Actual_End_Date]],"d"),"0")&amp;" days","No delay")</f>
        <v>Delayed by 6 days</v>
      </c>
    </row>
    <row r="259" customFormat="false" ht="14.25" hidden="false" customHeight="false" outlineLevel="0" collapsed="false">
      <c r="A259" s="22" t="s">
        <v>1193</v>
      </c>
      <c r="B259" s="22" t="s">
        <v>103</v>
      </c>
      <c r="C259" s="22" t="s">
        <v>104</v>
      </c>
      <c r="D259" s="22" t="s">
        <v>1194</v>
      </c>
      <c r="E259" s="22" t="s">
        <v>7</v>
      </c>
      <c r="F259" s="22" t="s">
        <v>79</v>
      </c>
      <c r="G259" s="22" t="s">
        <v>206</v>
      </c>
      <c r="H259" s="22" t="s">
        <v>239</v>
      </c>
      <c r="I259" s="23" t="n">
        <v>45606</v>
      </c>
      <c r="J259" s="23" t="n">
        <v>45634</v>
      </c>
      <c r="K259" s="23" t="n">
        <v>45636</v>
      </c>
      <c r="L259" s="0" t="n">
        <v>1000</v>
      </c>
      <c r="M259" s="0" t="n">
        <v>1015</v>
      </c>
      <c r="N259" s="0" t="n">
        <v>28</v>
      </c>
      <c r="O259" s="0" t="n">
        <v>2</v>
      </c>
      <c r="P259" s="22" t="s">
        <v>105</v>
      </c>
      <c r="Q259" s="22" t="s">
        <v>106</v>
      </c>
      <c r="R259" s="23" t="n">
        <v>45465</v>
      </c>
      <c r="S259" s="0" t="n">
        <v>75000</v>
      </c>
      <c r="T259" s="22" t="s">
        <v>78</v>
      </c>
      <c r="U259" s="22" t="s">
        <v>77</v>
      </c>
      <c r="V259" s="0" t="n">
        <v>250</v>
      </c>
      <c r="W259" s="0" t="n">
        <f aca="false">tbl_Tasks_Clean[[#This Row],[Actual_Cost]]-tbl_Tasks_Clean[[#This Row],[Planned_Cost]]</f>
        <v>15</v>
      </c>
      <c r="X259" s="22" t="n">
        <f aca="false">IFERROR(tbl_Tasks_Clean[[#This Row],[Actual_Cost]]/tbl_Tasks_Clean[[#This Row],[Planned_Cost]],0)</f>
        <v>1.015</v>
      </c>
      <c r="Y259" s="22" t="str">
        <f aca="false">IF(AND(tbl_Tasks_Clean[[#This Row],[Status]]="Completed",tbl_Tasks_Clean[[#This Row],[Delay_Days]]&lt;=0),"On Time","Late")</f>
        <v>Late</v>
      </c>
      <c r="Z259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59" s="22" t="str">
        <f aca="false">INDEX(tbl_Projects[Project_Manager],MATCH(tbl_Tasks_Clean[[#This Row],[Project_ID]],tbl_Projects[Project_ID],0))</f>
        <v>Laila Samir</v>
      </c>
      <c r="AB259" s="22" t="str">
        <f aca="false">IF(tbl_Tasks_Clean[[#This Row],[Delay_Days]]&gt;0,"Delayed by "&amp;TEXT(DATEDIF(tbl_Tasks_Clean[[#This Row],[Planned_End_Date]],tbl_Tasks_Clean[[#This Row],[Actual_End_Date]],"d"),"0")&amp;" days","No delay")</f>
        <v>Delayed by 2 days</v>
      </c>
    </row>
    <row r="260" customFormat="false" ht="14.25" hidden="false" customHeight="false" outlineLevel="0" collapsed="false">
      <c r="A260" s="22" t="s">
        <v>1198</v>
      </c>
      <c r="B260" s="22" t="s">
        <v>116</v>
      </c>
      <c r="C260" s="22" t="s">
        <v>117</v>
      </c>
      <c r="D260" s="22" t="s">
        <v>439</v>
      </c>
      <c r="E260" s="22" t="s">
        <v>63</v>
      </c>
      <c r="F260" s="22" t="s">
        <v>12</v>
      </c>
      <c r="G260" s="22" t="s">
        <v>275</v>
      </c>
      <c r="H260" s="22" t="s">
        <v>194</v>
      </c>
      <c r="I260" s="23" t="n">
        <v>45448</v>
      </c>
      <c r="J260" s="23" t="n">
        <v>45459</v>
      </c>
      <c r="K260" s="23" t="n">
        <v>45468</v>
      </c>
      <c r="L260" s="0" t="n">
        <v>10000</v>
      </c>
      <c r="M260" s="0" t="n">
        <v>11220</v>
      </c>
      <c r="N260" s="0" t="n">
        <v>11</v>
      </c>
      <c r="O260" s="0" t="n">
        <v>9</v>
      </c>
      <c r="P260" s="22" t="s">
        <v>118</v>
      </c>
      <c r="Q260" s="22" t="s">
        <v>106</v>
      </c>
      <c r="R260" s="23" t="n">
        <v>45435</v>
      </c>
      <c r="S260" s="0" t="n">
        <v>120000</v>
      </c>
      <c r="T260" s="22" t="s">
        <v>11</v>
      </c>
      <c r="U260" s="22" t="s">
        <v>13</v>
      </c>
      <c r="V260" s="0" t="n">
        <v>280</v>
      </c>
      <c r="W260" s="0" t="n">
        <f aca="false">tbl_Tasks_Clean[[#This Row],[Actual_Cost]]-tbl_Tasks_Clean[[#This Row],[Planned_Cost]]</f>
        <v>1220</v>
      </c>
      <c r="X260" s="22" t="n">
        <f aca="false">IFERROR(tbl_Tasks_Clean[[#This Row],[Actual_Cost]]/tbl_Tasks_Clean[[#This Row],[Planned_Cost]],0)</f>
        <v>1.122</v>
      </c>
      <c r="Y260" s="22" t="str">
        <f aca="false">IF(AND(tbl_Tasks_Clean[[#This Row],[Status]]="Completed",tbl_Tasks_Clean[[#This Row],[Delay_Days]]&lt;=0),"On Time","Late")</f>
        <v>Late</v>
      </c>
      <c r="Z260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60" s="22" t="str">
        <f aca="false">INDEX(tbl_Projects[Project_Manager],MATCH(tbl_Tasks_Clean[[#This Row],[Project_ID]],tbl_Projects[Project_ID],0))</f>
        <v>Laila Samir</v>
      </c>
      <c r="AB260" s="22" t="str">
        <f aca="false">IF(tbl_Tasks_Clean[[#This Row],[Delay_Days]]&gt;0,"Delayed by "&amp;TEXT(DATEDIF(tbl_Tasks_Clean[[#This Row],[Planned_End_Date]],tbl_Tasks_Clean[[#This Row],[Actual_End_Date]],"d"),"0")&amp;" days","No delay")</f>
        <v>Delayed by 9 days</v>
      </c>
    </row>
    <row r="261" customFormat="false" ht="14.25" hidden="false" customHeight="false" outlineLevel="0" collapsed="false">
      <c r="A261" s="22" t="s">
        <v>1201</v>
      </c>
      <c r="B261" s="22" t="s">
        <v>136</v>
      </c>
      <c r="C261" s="22" t="s">
        <v>137</v>
      </c>
      <c r="D261" s="22" t="s">
        <v>533</v>
      </c>
      <c r="E261" s="22" t="s">
        <v>34</v>
      </c>
      <c r="F261" s="22" t="s">
        <v>43</v>
      </c>
      <c r="G261" s="22" t="s">
        <v>275</v>
      </c>
      <c r="H261" s="22" t="s">
        <v>239</v>
      </c>
      <c r="I261" s="23" t="n">
        <v>45382</v>
      </c>
      <c r="J261" s="23" t="n">
        <v>45411</v>
      </c>
      <c r="K261" s="23" t="n">
        <v>45412</v>
      </c>
      <c r="L261" s="0" t="n">
        <v>2500</v>
      </c>
      <c r="M261" s="0" t="n">
        <v>2376</v>
      </c>
      <c r="N261" s="0" t="n">
        <v>29</v>
      </c>
      <c r="O261" s="0" t="n">
        <v>1</v>
      </c>
      <c r="P261" s="22" t="s">
        <v>138</v>
      </c>
      <c r="Q261" s="22" t="s">
        <v>101</v>
      </c>
      <c r="R261" s="23" t="n">
        <v>45315</v>
      </c>
      <c r="S261" s="0" t="n">
        <v>250000</v>
      </c>
      <c r="T261" s="22" t="s">
        <v>42</v>
      </c>
      <c r="U261" s="22" t="s">
        <v>45</v>
      </c>
      <c r="V261" s="0" t="n">
        <v>220</v>
      </c>
      <c r="W261" s="0" t="n">
        <f aca="false">tbl_Tasks_Clean[[#This Row],[Actual_Cost]]-tbl_Tasks_Clean[[#This Row],[Planned_Cost]]</f>
        <v>-124</v>
      </c>
      <c r="X261" s="22" t="n">
        <f aca="false">IFERROR(tbl_Tasks_Clean[[#This Row],[Actual_Cost]]/tbl_Tasks_Clean[[#This Row],[Planned_Cost]],0)</f>
        <v>0.9504</v>
      </c>
      <c r="Y261" s="22" t="str">
        <f aca="false">IF(AND(tbl_Tasks_Clean[[#This Row],[Status]]="Completed",tbl_Tasks_Clean[[#This Row],[Delay_Days]]&lt;=0),"On Time","Late")</f>
        <v>Late</v>
      </c>
      <c r="Z261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61" s="22" t="str">
        <f aca="false">INDEX(tbl_Projects[Project_Manager],MATCH(tbl_Tasks_Clean[[#This Row],[Project_ID]],tbl_Projects[Project_ID],0))</f>
        <v>Ahmed Nabil</v>
      </c>
      <c r="AB261" s="22" t="str">
        <f aca="false">IF(tbl_Tasks_Clean[[#This Row],[Delay_Days]]&gt;0,"Delayed by "&amp;TEXT(DATEDIF(tbl_Tasks_Clean[[#This Row],[Planned_End_Date]],tbl_Tasks_Clean[[#This Row],[Actual_End_Date]],"d"),"0")&amp;" days","No delay")</f>
        <v>Delayed by 1 days</v>
      </c>
    </row>
    <row r="262" customFormat="false" ht="14.25" hidden="false" customHeight="false" outlineLevel="0" collapsed="false">
      <c r="A262" s="22" t="s">
        <v>1204</v>
      </c>
      <c r="B262" s="22" t="s">
        <v>120</v>
      </c>
      <c r="C262" s="22" t="s">
        <v>121</v>
      </c>
      <c r="D262" s="22" t="s">
        <v>401</v>
      </c>
      <c r="E262" s="22" t="s">
        <v>21</v>
      </c>
      <c r="F262" s="22" t="s">
        <v>79</v>
      </c>
      <c r="G262" s="22" t="s">
        <v>275</v>
      </c>
      <c r="H262" s="22" t="s">
        <v>239</v>
      </c>
      <c r="I262" s="23" t="n">
        <v>45400</v>
      </c>
      <c r="J262" s="23" t="n">
        <v>45411</v>
      </c>
      <c r="K262" s="23" t="n">
        <v>45413</v>
      </c>
      <c r="M262" s="0" t="n">
        <v>1656</v>
      </c>
      <c r="N262" s="0" t="n">
        <v>11</v>
      </c>
      <c r="O262" s="0" t="n">
        <v>2</v>
      </c>
      <c r="P262" s="22" t="s">
        <v>122</v>
      </c>
      <c r="Q262" s="22" t="s">
        <v>123</v>
      </c>
      <c r="R262" s="23" t="n">
        <v>45348</v>
      </c>
      <c r="S262" s="0" t="n">
        <v>300000</v>
      </c>
      <c r="T262" s="22" t="s">
        <v>78</v>
      </c>
      <c r="U262" s="22" t="s">
        <v>77</v>
      </c>
      <c r="V262" s="0" t="n">
        <v>250</v>
      </c>
      <c r="W262" s="0" t="n">
        <f aca="false">tbl_Tasks_Clean[[#This Row],[Actual_Cost]]-tbl_Tasks_Clean[[#This Row],[Planned_Cost]]</f>
        <v>1656</v>
      </c>
      <c r="X262" s="22" t="n">
        <f aca="false">IFERROR(tbl_Tasks_Clean[[#This Row],[Actual_Cost]]/tbl_Tasks_Clean[[#This Row],[Planned_Cost]],0)</f>
        <v>0</v>
      </c>
      <c r="Y262" s="22" t="str">
        <f aca="false">IF(AND(tbl_Tasks_Clean[[#This Row],[Status]]="Completed",tbl_Tasks_Clean[[#This Row],[Delay_Days]]&lt;=0),"On Time","Late")</f>
        <v>Late</v>
      </c>
      <c r="Z262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62" s="22" t="str">
        <f aca="false">INDEX(tbl_Projects[Project_Manager],MATCH(tbl_Tasks_Clean[[#This Row],[Project_ID]],tbl_Projects[Project_ID],0))</f>
        <v>Nourhan Tarek</v>
      </c>
      <c r="AB262" s="22" t="str">
        <f aca="false">IF(tbl_Tasks_Clean[[#This Row],[Delay_Days]]&gt;0,"Delayed by "&amp;TEXT(DATEDIF(tbl_Tasks_Clean[[#This Row],[Planned_End_Date]],tbl_Tasks_Clean[[#This Row],[Actual_End_Date]],"d"),"0")&amp;" days","No delay")</f>
        <v>Delayed by 2 days</v>
      </c>
    </row>
    <row r="263" customFormat="false" ht="14.25" hidden="false" customHeight="false" outlineLevel="0" collapsed="false">
      <c r="A263" s="22" t="s">
        <v>1207</v>
      </c>
      <c r="B263" s="22" t="s">
        <v>125</v>
      </c>
      <c r="C263" s="22" t="s">
        <v>126</v>
      </c>
      <c r="D263" s="22" t="s">
        <v>205</v>
      </c>
      <c r="E263" s="22" t="s">
        <v>76</v>
      </c>
      <c r="F263" s="22" t="s">
        <v>10</v>
      </c>
      <c r="G263" s="22" t="s">
        <v>206</v>
      </c>
      <c r="H263" s="22" t="s">
        <v>201</v>
      </c>
      <c r="I263" s="23" t="n">
        <v>45388</v>
      </c>
      <c r="J263" s="23" t="n">
        <v>45412</v>
      </c>
      <c r="K263" s="23"/>
      <c r="L263" s="0" t="n">
        <v>2000</v>
      </c>
      <c r="M263" s="0" t="n">
        <v>0</v>
      </c>
      <c r="N263" s="0" t="n">
        <v>24</v>
      </c>
      <c r="O263" s="0" t="n">
        <v>0</v>
      </c>
      <c r="P263" s="22" t="s">
        <v>127</v>
      </c>
      <c r="Q263" s="22" t="s">
        <v>106</v>
      </c>
      <c r="R263" s="23" t="n">
        <v>45293</v>
      </c>
      <c r="S263" s="0" t="n">
        <v>100000</v>
      </c>
      <c r="T263" s="22" t="s">
        <v>9</v>
      </c>
      <c r="U263" s="22" t="s">
        <v>8</v>
      </c>
      <c r="V263" s="0" t="n">
        <v>220</v>
      </c>
      <c r="W263" s="0" t="n">
        <f aca="false">tbl_Tasks_Clean[[#This Row],[Actual_Cost]]-tbl_Tasks_Clean[[#This Row],[Planned_Cost]]</f>
        <v>-2000</v>
      </c>
      <c r="X263" s="22" t="n">
        <f aca="false">IFERROR(tbl_Tasks_Clean[[#This Row],[Actual_Cost]]/tbl_Tasks_Clean[[#This Row],[Planned_Cost]],0)</f>
        <v>0</v>
      </c>
      <c r="Y263" s="22" t="str">
        <f aca="false">IF(AND(tbl_Tasks_Clean[[#This Row],[Status]]="Completed",tbl_Tasks_Clean[[#This Row],[Delay_Days]]&lt;=0),"On Time","Late")</f>
        <v>Late</v>
      </c>
      <c r="Z263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63" s="22" t="str">
        <f aca="false">INDEX(tbl_Projects[Project_Manager],MATCH(tbl_Tasks_Clean[[#This Row],[Project_ID]],tbl_Projects[Project_ID],0))</f>
        <v>Laila Samir</v>
      </c>
      <c r="AB263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64" customFormat="false" ht="14.25" hidden="false" customHeight="false" outlineLevel="0" collapsed="false">
      <c r="A264" s="22" t="s">
        <v>1210</v>
      </c>
      <c r="B264" s="22" t="s">
        <v>108</v>
      </c>
      <c r="C264" s="22" t="s">
        <v>109</v>
      </c>
      <c r="D264" s="22" t="s">
        <v>478</v>
      </c>
      <c r="E264" s="22" t="s">
        <v>44</v>
      </c>
      <c r="F264" s="22" t="s">
        <v>73</v>
      </c>
      <c r="G264" s="22" t="s">
        <v>206</v>
      </c>
      <c r="H264" s="22" t="s">
        <v>212</v>
      </c>
      <c r="I264" s="23" t="n">
        <v>45388</v>
      </c>
      <c r="J264" s="23" t="n">
        <v>45398</v>
      </c>
      <c r="K264" s="23"/>
      <c r="L264" s="0" t="n">
        <v>1500</v>
      </c>
      <c r="M264" s="0" t="n">
        <v>994</v>
      </c>
      <c r="N264" s="0" t="n">
        <v>10</v>
      </c>
      <c r="O264" s="0" t="n">
        <v>0</v>
      </c>
      <c r="P264" s="22" t="s">
        <v>110</v>
      </c>
      <c r="Q264" s="22" t="s">
        <v>101</v>
      </c>
      <c r="R264" s="23" t="n">
        <v>45300</v>
      </c>
      <c r="S264" s="0" t="n">
        <v>50000</v>
      </c>
      <c r="T264" s="22" t="s">
        <v>72</v>
      </c>
      <c r="U264" s="22" t="s">
        <v>67</v>
      </c>
      <c r="V264" s="0" t="n">
        <v>200</v>
      </c>
      <c r="W264" s="0" t="n">
        <f aca="false">tbl_Tasks_Clean[[#This Row],[Actual_Cost]]-tbl_Tasks_Clean[[#This Row],[Planned_Cost]]</f>
        <v>-506</v>
      </c>
      <c r="X264" s="22" t="n">
        <f aca="false">IFERROR(tbl_Tasks_Clean[[#This Row],[Actual_Cost]]/tbl_Tasks_Clean[[#This Row],[Planned_Cost]],0)</f>
        <v>0.662666666666667</v>
      </c>
      <c r="Y264" s="22" t="str">
        <f aca="false">IF(AND(tbl_Tasks_Clean[[#This Row],[Status]]="Completed",tbl_Tasks_Clean[[#This Row],[Delay_Days]]&lt;=0),"On Time","Late")</f>
        <v>Late</v>
      </c>
      <c r="Z264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64" s="22" t="str">
        <f aca="false">INDEX(tbl_Projects[Project_Manager],MATCH(tbl_Tasks_Clean[[#This Row],[Project_ID]],tbl_Projects[Project_ID],0))</f>
        <v>Ahmed Nabil</v>
      </c>
      <c r="AB264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65" customFormat="false" ht="14.25" hidden="false" customHeight="false" outlineLevel="0" collapsed="false">
      <c r="A265" s="22" t="s">
        <v>1213</v>
      </c>
      <c r="B265" s="22" t="s">
        <v>108</v>
      </c>
      <c r="C265" s="22" t="s">
        <v>109</v>
      </c>
      <c r="D265" s="22" t="s">
        <v>1214</v>
      </c>
      <c r="E265" s="22" t="s">
        <v>7</v>
      </c>
      <c r="F265" s="22" t="s">
        <v>75</v>
      </c>
      <c r="G265" s="22" t="s">
        <v>206</v>
      </c>
      <c r="H265" s="22" t="s">
        <v>194</v>
      </c>
      <c r="I265" s="23" t="n">
        <v>45421</v>
      </c>
      <c r="J265" s="23" t="n">
        <v>45432</v>
      </c>
      <c r="K265" s="23" t="n">
        <v>45430</v>
      </c>
      <c r="L265" s="0" t="n">
        <v>2500</v>
      </c>
      <c r="M265" s="0" t="n">
        <v>2251</v>
      </c>
      <c r="N265" s="0" t="n">
        <v>11</v>
      </c>
      <c r="O265" s="0" t="n">
        <v>-2</v>
      </c>
      <c r="P265" s="22" t="s">
        <v>110</v>
      </c>
      <c r="Q265" s="22" t="s">
        <v>101</v>
      </c>
      <c r="R265" s="23" t="n">
        <v>45300</v>
      </c>
      <c r="S265" s="0" t="n">
        <v>50000</v>
      </c>
      <c r="T265" s="22" t="s">
        <v>74</v>
      </c>
      <c r="U265" s="22" t="s">
        <v>77</v>
      </c>
      <c r="V265" s="0" t="n">
        <v>250</v>
      </c>
      <c r="W265" s="0" t="n">
        <f aca="false">tbl_Tasks_Clean[[#This Row],[Actual_Cost]]-tbl_Tasks_Clean[[#This Row],[Planned_Cost]]</f>
        <v>-249</v>
      </c>
      <c r="X265" s="22" t="n">
        <f aca="false">IFERROR(tbl_Tasks_Clean[[#This Row],[Actual_Cost]]/tbl_Tasks_Clean[[#This Row],[Planned_Cost]],0)</f>
        <v>0.9004</v>
      </c>
      <c r="Y265" s="22" t="str">
        <f aca="false">IF(AND(tbl_Tasks_Clean[[#This Row],[Status]]="Completed",tbl_Tasks_Clean[[#This Row],[Delay_Days]]&lt;=0),"On Time","Late")</f>
        <v>Late</v>
      </c>
      <c r="Z265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65" s="22" t="str">
        <f aca="false">INDEX(tbl_Projects[Project_Manager],MATCH(tbl_Tasks_Clean[[#This Row],[Project_ID]],tbl_Projects[Project_ID],0))</f>
        <v>Ahmed Nabil</v>
      </c>
      <c r="AB265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66" customFormat="false" ht="14.25" hidden="false" customHeight="false" outlineLevel="0" collapsed="false">
      <c r="A266" s="22" t="s">
        <v>1216</v>
      </c>
      <c r="B266" s="22" t="s">
        <v>140</v>
      </c>
      <c r="C266" s="22" t="s">
        <v>141</v>
      </c>
      <c r="D266" s="22" t="s">
        <v>1194</v>
      </c>
      <c r="E266" s="22" t="s">
        <v>76</v>
      </c>
      <c r="F266" s="22" t="s">
        <v>24</v>
      </c>
      <c r="G266" s="22" t="s">
        <v>275</v>
      </c>
      <c r="H266" s="22" t="s">
        <v>201</v>
      </c>
      <c r="I266" s="23" t="n">
        <v>45413</v>
      </c>
      <c r="J266" s="23" t="n">
        <v>45443</v>
      </c>
      <c r="K266" s="23"/>
      <c r="L266" s="0" t="n">
        <v>5000</v>
      </c>
      <c r="M266" s="0" t="n">
        <v>0</v>
      </c>
      <c r="N266" s="0" t="n">
        <v>30</v>
      </c>
      <c r="O266" s="0" t="n">
        <v>0</v>
      </c>
      <c r="P266" s="22" t="s">
        <v>118</v>
      </c>
      <c r="Q266" s="22" t="s">
        <v>123</v>
      </c>
      <c r="R266" s="23" t="n">
        <v>45383</v>
      </c>
      <c r="S266" s="0" t="n">
        <v>200000</v>
      </c>
      <c r="T266" s="22" t="s">
        <v>23</v>
      </c>
      <c r="U266" s="22" t="s">
        <v>22</v>
      </c>
      <c r="V266" s="0" t="n">
        <v>180</v>
      </c>
      <c r="W266" s="0" t="n">
        <f aca="false">tbl_Tasks_Clean[[#This Row],[Actual_Cost]]-tbl_Tasks_Clean[[#This Row],[Planned_Cost]]</f>
        <v>-5000</v>
      </c>
      <c r="X266" s="22" t="n">
        <f aca="false">IFERROR(tbl_Tasks_Clean[[#This Row],[Actual_Cost]]/tbl_Tasks_Clean[[#This Row],[Planned_Cost]],0)</f>
        <v>0</v>
      </c>
      <c r="Y266" s="22" t="str">
        <f aca="false">IF(AND(tbl_Tasks_Clean[[#This Row],[Status]]="Completed",tbl_Tasks_Clean[[#This Row],[Delay_Days]]&lt;=0),"On Time","Late")</f>
        <v>Late</v>
      </c>
      <c r="Z266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66" s="22" t="str">
        <f aca="false">INDEX(tbl_Projects[Project_Manager],MATCH(tbl_Tasks_Clean[[#This Row],[Project_ID]],tbl_Projects[Project_ID],0))</f>
        <v>Nourhan Tarek</v>
      </c>
      <c r="AB266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67" customFormat="false" ht="14.25" hidden="false" customHeight="false" outlineLevel="0" collapsed="false">
      <c r="A267" s="22" t="s">
        <v>1218</v>
      </c>
      <c r="B267" s="22" t="s">
        <v>143</v>
      </c>
      <c r="C267" s="22" t="s">
        <v>144</v>
      </c>
      <c r="D267" s="22" t="s">
        <v>941</v>
      </c>
      <c r="E267" s="22" t="s">
        <v>44</v>
      </c>
      <c r="F267" s="22" t="s">
        <v>12</v>
      </c>
      <c r="G267" s="22" t="s">
        <v>206</v>
      </c>
      <c r="H267" s="22" t="s">
        <v>239</v>
      </c>
      <c r="I267" s="23" t="n">
        <v>45304</v>
      </c>
      <c r="J267" s="23" t="n">
        <v>45323</v>
      </c>
      <c r="K267" s="23" t="n">
        <v>45321</v>
      </c>
      <c r="L267" s="0" t="n">
        <v>6000</v>
      </c>
      <c r="M267" s="0" t="n">
        <v>4896</v>
      </c>
      <c r="N267" s="0" t="n">
        <v>19</v>
      </c>
      <c r="O267" s="0" t="n">
        <v>-2</v>
      </c>
      <c r="P267" s="22" t="s">
        <v>145</v>
      </c>
      <c r="Q267" s="22" t="s">
        <v>101</v>
      </c>
      <c r="R267" s="23" t="n">
        <v>45303</v>
      </c>
      <c r="S267" s="0" t="n">
        <v>300000</v>
      </c>
      <c r="T267" s="22" t="s">
        <v>11</v>
      </c>
      <c r="U267" s="22" t="s">
        <v>13</v>
      </c>
      <c r="V267" s="0" t="n">
        <v>280</v>
      </c>
      <c r="W267" s="0" t="n">
        <f aca="false">tbl_Tasks_Clean[[#This Row],[Actual_Cost]]-tbl_Tasks_Clean[[#This Row],[Planned_Cost]]</f>
        <v>-1104</v>
      </c>
      <c r="X267" s="22" t="n">
        <f aca="false">IFERROR(tbl_Tasks_Clean[[#This Row],[Actual_Cost]]/tbl_Tasks_Clean[[#This Row],[Planned_Cost]],0)</f>
        <v>0.816</v>
      </c>
      <c r="Y267" s="22" t="str">
        <f aca="false">IF(AND(tbl_Tasks_Clean[[#This Row],[Status]]="Completed",tbl_Tasks_Clean[[#This Row],[Delay_Days]]&lt;=0),"On Time","Late")</f>
        <v>On Time</v>
      </c>
      <c r="Z267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67" s="22" t="str">
        <f aca="false">INDEX(tbl_Projects[Project_Manager],MATCH(tbl_Tasks_Clean[[#This Row],[Project_ID]],tbl_Projects[Project_ID],0))</f>
        <v>Ahmed Nabil</v>
      </c>
      <c r="AB267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68" customFormat="false" ht="14.25" hidden="false" customHeight="false" outlineLevel="0" collapsed="false">
      <c r="A268" s="22" t="s">
        <v>1222</v>
      </c>
      <c r="B268" s="22" t="s">
        <v>120</v>
      </c>
      <c r="C268" s="22" t="s">
        <v>121</v>
      </c>
      <c r="D268" s="22" t="s">
        <v>661</v>
      </c>
      <c r="E268" s="22" t="s">
        <v>21</v>
      </c>
      <c r="F268" s="22" t="s">
        <v>60</v>
      </c>
      <c r="G268" s="22" t="s">
        <v>275</v>
      </c>
      <c r="H268" s="22" t="s">
        <v>201</v>
      </c>
      <c r="I268" s="23" t="n">
        <v>45389</v>
      </c>
      <c r="J268" s="23" t="n">
        <v>45410</v>
      </c>
      <c r="K268" s="23"/>
      <c r="L268" s="0" t="n">
        <v>2500</v>
      </c>
      <c r="M268" s="0" t="n">
        <v>0</v>
      </c>
      <c r="N268" s="0" t="n">
        <v>21</v>
      </c>
      <c r="O268" s="0" t="n">
        <v>0</v>
      </c>
      <c r="P268" s="22" t="s">
        <v>122</v>
      </c>
      <c r="Q268" s="22" t="s">
        <v>123</v>
      </c>
      <c r="R268" s="23" t="n">
        <v>45348</v>
      </c>
      <c r="S268" s="0" t="n">
        <v>300000</v>
      </c>
      <c r="T268" s="22" t="s">
        <v>59</v>
      </c>
      <c r="U268" s="22" t="s">
        <v>58</v>
      </c>
      <c r="V268" s="0" t="n">
        <v>300</v>
      </c>
      <c r="W268" s="0" t="n">
        <f aca="false">tbl_Tasks_Clean[[#This Row],[Actual_Cost]]-tbl_Tasks_Clean[[#This Row],[Planned_Cost]]</f>
        <v>-2500</v>
      </c>
      <c r="X268" s="22" t="n">
        <f aca="false">IFERROR(tbl_Tasks_Clean[[#This Row],[Actual_Cost]]/tbl_Tasks_Clean[[#This Row],[Planned_Cost]],0)</f>
        <v>0</v>
      </c>
      <c r="Y268" s="22" t="str">
        <f aca="false">IF(AND(tbl_Tasks_Clean[[#This Row],[Status]]="Completed",tbl_Tasks_Clean[[#This Row],[Delay_Days]]&lt;=0),"On Time","Late")</f>
        <v>Late</v>
      </c>
      <c r="Z268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68" s="22" t="str">
        <f aca="false">INDEX(tbl_Projects[Project_Manager],MATCH(tbl_Tasks_Clean[[#This Row],[Project_ID]],tbl_Projects[Project_ID],0))</f>
        <v>Nourhan Tarek</v>
      </c>
      <c r="AB268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69" customFormat="false" ht="14.25" hidden="false" customHeight="false" outlineLevel="0" collapsed="false">
      <c r="A269" s="22" t="s">
        <v>1225</v>
      </c>
      <c r="B269" s="22" t="s">
        <v>147</v>
      </c>
      <c r="C269" s="22" t="s">
        <v>148</v>
      </c>
      <c r="D269" s="22" t="s">
        <v>314</v>
      </c>
      <c r="E269" s="22" t="s">
        <v>63</v>
      </c>
      <c r="F269" s="22" t="s">
        <v>29</v>
      </c>
      <c r="G269" s="22" t="s">
        <v>206</v>
      </c>
      <c r="H269" s="22" t="s">
        <v>212</v>
      </c>
      <c r="I269" s="23" t="n">
        <v>45520</v>
      </c>
      <c r="J269" s="23" t="n">
        <v>45540</v>
      </c>
      <c r="K269" s="23"/>
      <c r="L269" s="0" t="n">
        <v>1000</v>
      </c>
      <c r="M269" s="0" t="n">
        <v>620</v>
      </c>
      <c r="N269" s="0" t="n">
        <v>20</v>
      </c>
      <c r="O269" s="0" t="n">
        <v>0</v>
      </c>
      <c r="P269" s="22" t="s">
        <v>118</v>
      </c>
      <c r="Q269" s="22" t="s">
        <v>123</v>
      </c>
      <c r="R269" s="23" t="n">
        <v>45388</v>
      </c>
      <c r="S269" s="0" t="n">
        <v>75000</v>
      </c>
      <c r="T269" s="22" t="s">
        <v>28</v>
      </c>
      <c r="U269" s="22" t="s">
        <v>22</v>
      </c>
      <c r="V269" s="0" t="n">
        <v>200</v>
      </c>
      <c r="W269" s="0" t="n">
        <f aca="false">tbl_Tasks_Clean[[#This Row],[Actual_Cost]]-tbl_Tasks_Clean[[#This Row],[Planned_Cost]]</f>
        <v>-380</v>
      </c>
      <c r="X269" s="22" t="n">
        <f aca="false">IFERROR(tbl_Tasks_Clean[[#This Row],[Actual_Cost]]/tbl_Tasks_Clean[[#This Row],[Planned_Cost]],0)</f>
        <v>0.62</v>
      </c>
      <c r="Y269" s="22" t="str">
        <f aca="false">IF(AND(tbl_Tasks_Clean[[#This Row],[Status]]="Completed",tbl_Tasks_Clean[[#This Row],[Delay_Days]]&lt;=0),"On Time","Late")</f>
        <v>Late</v>
      </c>
      <c r="Z269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69" s="22" t="str">
        <f aca="false">INDEX(tbl_Projects[Project_Manager],MATCH(tbl_Tasks_Clean[[#This Row],[Project_ID]],tbl_Projects[Project_ID],0))</f>
        <v>Nourhan Tarek</v>
      </c>
      <c r="AB269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70" customFormat="false" ht="14.25" hidden="false" customHeight="false" outlineLevel="0" collapsed="false">
      <c r="A270" s="22" t="s">
        <v>1228</v>
      </c>
      <c r="B270" s="22" t="s">
        <v>136</v>
      </c>
      <c r="C270" s="22" t="s">
        <v>137</v>
      </c>
      <c r="D270" s="22" t="s">
        <v>707</v>
      </c>
      <c r="E270" s="22" t="s">
        <v>7</v>
      </c>
      <c r="F270" s="22" t="s">
        <v>37</v>
      </c>
      <c r="G270" s="22" t="s">
        <v>175</v>
      </c>
      <c r="H270" s="22" t="s">
        <v>239</v>
      </c>
      <c r="I270" s="23" t="n">
        <v>45445</v>
      </c>
      <c r="J270" s="23" t="n">
        <v>45465</v>
      </c>
      <c r="K270" s="23" t="n">
        <v>45463</v>
      </c>
      <c r="L270" s="0" t="n">
        <v>6000</v>
      </c>
      <c r="M270" s="0" t="n">
        <v>8191</v>
      </c>
      <c r="N270" s="0" t="n">
        <v>20</v>
      </c>
      <c r="O270" s="0" t="n">
        <v>-2</v>
      </c>
      <c r="P270" s="22" t="s">
        <v>138</v>
      </c>
      <c r="Q270" s="22" t="s">
        <v>101</v>
      </c>
      <c r="R270" s="23" t="n">
        <v>45315</v>
      </c>
      <c r="S270" s="0" t="n">
        <v>250000</v>
      </c>
      <c r="T270" s="22" t="s">
        <v>36</v>
      </c>
      <c r="U270" s="22" t="s">
        <v>38</v>
      </c>
      <c r="V270" s="0" t="n">
        <v>280</v>
      </c>
      <c r="W270" s="0" t="n">
        <f aca="false">tbl_Tasks_Clean[[#This Row],[Actual_Cost]]-tbl_Tasks_Clean[[#This Row],[Planned_Cost]]</f>
        <v>2191</v>
      </c>
      <c r="X270" s="22" t="n">
        <f aca="false">IFERROR(tbl_Tasks_Clean[[#This Row],[Actual_Cost]]/tbl_Tasks_Clean[[#This Row],[Planned_Cost]],0)</f>
        <v>1.36516666666667</v>
      </c>
      <c r="Y270" s="22" t="str">
        <f aca="false">IF(AND(tbl_Tasks_Clean[[#This Row],[Status]]="Completed",tbl_Tasks_Clean[[#This Row],[Delay_Days]]&lt;=0),"On Time","Late")</f>
        <v>On Time</v>
      </c>
      <c r="Z270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70" s="22" t="str">
        <f aca="false">INDEX(tbl_Projects[Project_Manager],MATCH(tbl_Tasks_Clean[[#This Row],[Project_ID]],tbl_Projects[Project_ID],0))</f>
        <v>Ahmed Nabil</v>
      </c>
      <c r="AB270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71" customFormat="false" ht="14.25" hidden="false" customHeight="false" outlineLevel="0" collapsed="false">
      <c r="A271" s="22" t="s">
        <v>1230</v>
      </c>
      <c r="B271" s="22" t="s">
        <v>93</v>
      </c>
      <c r="C271" s="22" t="s">
        <v>94</v>
      </c>
      <c r="D271" s="22" t="s">
        <v>1231</v>
      </c>
      <c r="E271" s="22" t="s">
        <v>34</v>
      </c>
      <c r="F271" s="22" t="s">
        <v>26</v>
      </c>
      <c r="G271" s="22" t="s">
        <v>175</v>
      </c>
      <c r="H271" s="22" t="s">
        <v>239</v>
      </c>
      <c r="I271" s="23" t="n">
        <v>45538</v>
      </c>
      <c r="J271" s="23" t="n">
        <v>45566</v>
      </c>
      <c r="K271" s="23" t="n">
        <v>45564</v>
      </c>
      <c r="L271" s="0" t="n">
        <v>2000</v>
      </c>
      <c r="M271" s="0" t="n">
        <v>1434</v>
      </c>
      <c r="N271" s="0" t="n">
        <v>28</v>
      </c>
      <c r="O271" s="0" t="n">
        <v>-2</v>
      </c>
      <c r="P271" s="22" t="s">
        <v>95</v>
      </c>
      <c r="Q271" s="22" t="s">
        <v>96</v>
      </c>
      <c r="R271" s="23" t="n">
        <v>45481</v>
      </c>
      <c r="S271" s="0" t="n">
        <v>150000</v>
      </c>
      <c r="T271" s="22" t="s">
        <v>25</v>
      </c>
      <c r="U271" s="22" t="s">
        <v>27</v>
      </c>
      <c r="V271" s="0" t="n">
        <v>200</v>
      </c>
      <c r="W271" s="0" t="n">
        <f aca="false">tbl_Tasks_Clean[[#This Row],[Actual_Cost]]-tbl_Tasks_Clean[[#This Row],[Planned_Cost]]</f>
        <v>-566</v>
      </c>
      <c r="X271" s="22" t="n">
        <f aca="false">IFERROR(tbl_Tasks_Clean[[#This Row],[Actual_Cost]]/tbl_Tasks_Clean[[#This Row],[Planned_Cost]],0)</f>
        <v>0.717</v>
      </c>
      <c r="Y271" s="22" t="str">
        <f aca="false">IF(AND(tbl_Tasks_Clean[[#This Row],[Status]]="Completed",tbl_Tasks_Clean[[#This Row],[Delay_Days]]&lt;=0),"On Time","Late")</f>
        <v>On Time</v>
      </c>
      <c r="Z271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71" s="22" t="str">
        <f aca="false">INDEX(tbl_Projects[Project_Manager],MATCH(tbl_Tasks_Clean[[#This Row],[Project_ID]],tbl_Projects[Project_ID],0))</f>
        <v>Youssef Adel</v>
      </c>
      <c r="AB271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72" customFormat="false" ht="14.25" hidden="false" customHeight="false" outlineLevel="0" collapsed="false">
      <c r="A272" s="22" t="s">
        <v>1233</v>
      </c>
      <c r="B272" s="22" t="s">
        <v>116</v>
      </c>
      <c r="C272" s="22" t="s">
        <v>117</v>
      </c>
      <c r="D272" s="22" t="s">
        <v>730</v>
      </c>
      <c r="E272" s="22" t="s">
        <v>7</v>
      </c>
      <c r="F272" s="22" t="s">
        <v>29</v>
      </c>
      <c r="G272" s="22" t="s">
        <v>206</v>
      </c>
      <c r="H272" s="22" t="s">
        <v>194</v>
      </c>
      <c r="I272" s="23" t="n">
        <v>45436</v>
      </c>
      <c r="J272" s="23" t="n">
        <v>45447</v>
      </c>
      <c r="K272" s="23" t="n">
        <v>45456</v>
      </c>
      <c r="L272" s="0" t="n">
        <v>2500</v>
      </c>
      <c r="M272" s="0" t="n">
        <v>2532</v>
      </c>
      <c r="N272" s="0" t="n">
        <v>11</v>
      </c>
      <c r="O272" s="0" t="n">
        <v>9</v>
      </c>
      <c r="P272" s="22" t="s">
        <v>118</v>
      </c>
      <c r="Q272" s="22" t="s">
        <v>106</v>
      </c>
      <c r="R272" s="23" t="n">
        <v>45435</v>
      </c>
      <c r="S272" s="0" t="n">
        <v>120000</v>
      </c>
      <c r="T272" s="22" t="s">
        <v>28</v>
      </c>
      <c r="U272" s="22" t="s">
        <v>22</v>
      </c>
      <c r="V272" s="0" t="n">
        <v>200</v>
      </c>
      <c r="W272" s="0" t="n">
        <f aca="false">tbl_Tasks_Clean[[#This Row],[Actual_Cost]]-tbl_Tasks_Clean[[#This Row],[Planned_Cost]]</f>
        <v>32</v>
      </c>
      <c r="X272" s="22" t="n">
        <f aca="false">IFERROR(tbl_Tasks_Clean[[#This Row],[Actual_Cost]]/tbl_Tasks_Clean[[#This Row],[Planned_Cost]],0)</f>
        <v>1.0128</v>
      </c>
      <c r="Y272" s="22" t="str">
        <f aca="false">IF(AND(tbl_Tasks_Clean[[#This Row],[Status]]="Completed",tbl_Tasks_Clean[[#This Row],[Delay_Days]]&lt;=0),"On Time","Late")</f>
        <v>Late</v>
      </c>
      <c r="Z272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72" s="22" t="str">
        <f aca="false">INDEX(tbl_Projects[Project_Manager],MATCH(tbl_Tasks_Clean[[#This Row],[Project_ID]],tbl_Projects[Project_ID],0))</f>
        <v>Laila Samir</v>
      </c>
      <c r="AB272" s="22" t="str">
        <f aca="false">IF(tbl_Tasks_Clean[[#This Row],[Delay_Days]]&gt;0,"Delayed by "&amp;TEXT(DATEDIF(tbl_Tasks_Clean[[#This Row],[Planned_End_Date]],tbl_Tasks_Clean[[#This Row],[Actual_End_Date]],"d"),"0")&amp;" days","No delay")</f>
        <v>Delayed by 9 days</v>
      </c>
    </row>
    <row r="273" customFormat="false" ht="14.25" hidden="false" customHeight="false" outlineLevel="0" collapsed="false">
      <c r="A273" s="22" t="s">
        <v>1235</v>
      </c>
      <c r="B273" s="22" t="s">
        <v>103</v>
      </c>
      <c r="C273" s="22" t="s">
        <v>104</v>
      </c>
      <c r="D273" s="22" t="s">
        <v>934</v>
      </c>
      <c r="E273" s="22" t="s">
        <v>7</v>
      </c>
      <c r="F273" s="22" t="s">
        <v>62</v>
      </c>
      <c r="G273" s="22" t="s">
        <v>275</v>
      </c>
      <c r="H273" s="22" t="s">
        <v>239</v>
      </c>
      <c r="I273" s="23" t="n">
        <v>45614</v>
      </c>
      <c r="J273" s="23" t="n">
        <v>45634</v>
      </c>
      <c r="K273" s="23" t="n">
        <v>45636</v>
      </c>
      <c r="L273" s="0" t="n">
        <v>4000</v>
      </c>
      <c r="M273" s="0" t="n">
        <v>3867</v>
      </c>
      <c r="N273" s="0" t="n">
        <v>20</v>
      </c>
      <c r="O273" s="0" t="n">
        <v>2</v>
      </c>
      <c r="P273" s="22" t="s">
        <v>105</v>
      </c>
      <c r="Q273" s="22" t="s">
        <v>106</v>
      </c>
      <c r="R273" s="23" t="n">
        <v>45465</v>
      </c>
      <c r="S273" s="0" t="n">
        <v>75000</v>
      </c>
      <c r="T273" s="22" t="s">
        <v>61</v>
      </c>
      <c r="U273" s="22" t="s">
        <v>64</v>
      </c>
      <c r="V273" s="0" t="n">
        <v>150</v>
      </c>
      <c r="W273" s="0" t="n">
        <f aca="false">tbl_Tasks_Clean[[#This Row],[Actual_Cost]]-tbl_Tasks_Clean[[#This Row],[Planned_Cost]]</f>
        <v>-133</v>
      </c>
      <c r="X273" s="22" t="n">
        <f aca="false">IFERROR(tbl_Tasks_Clean[[#This Row],[Actual_Cost]]/tbl_Tasks_Clean[[#This Row],[Planned_Cost]],0)</f>
        <v>0.96675</v>
      </c>
      <c r="Y273" s="22" t="str">
        <f aca="false">IF(AND(tbl_Tasks_Clean[[#This Row],[Status]]="Completed",tbl_Tasks_Clean[[#This Row],[Delay_Days]]&lt;=0),"On Time","Late")</f>
        <v>Late</v>
      </c>
      <c r="Z273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73" s="22" t="str">
        <f aca="false">INDEX(tbl_Projects[Project_Manager],MATCH(tbl_Tasks_Clean[[#This Row],[Project_ID]],tbl_Projects[Project_ID],0))</f>
        <v>Laila Samir</v>
      </c>
      <c r="AB273" s="22" t="str">
        <f aca="false">IF(tbl_Tasks_Clean[[#This Row],[Delay_Days]]&gt;0,"Delayed by "&amp;TEXT(DATEDIF(tbl_Tasks_Clean[[#This Row],[Planned_End_Date]],tbl_Tasks_Clean[[#This Row],[Actual_End_Date]],"d"),"0")&amp;" days","No delay")</f>
        <v>Delayed by 2 days</v>
      </c>
    </row>
    <row r="274" customFormat="false" ht="14.25" hidden="false" customHeight="false" outlineLevel="0" collapsed="false">
      <c r="A274" s="22" t="s">
        <v>1237</v>
      </c>
      <c r="B274" s="22" t="s">
        <v>125</v>
      </c>
      <c r="C274" s="22" t="s">
        <v>126</v>
      </c>
      <c r="D274" s="22" t="s">
        <v>1238</v>
      </c>
      <c r="E274" s="22" t="s">
        <v>63</v>
      </c>
      <c r="F274" s="22" t="s">
        <v>62</v>
      </c>
      <c r="G274" s="22" t="s">
        <v>275</v>
      </c>
      <c r="H274" s="22" t="s">
        <v>212</v>
      </c>
      <c r="I274" s="23" t="n">
        <v>45391</v>
      </c>
      <c r="J274" s="23" t="n">
        <v>45397</v>
      </c>
      <c r="K274" s="23"/>
      <c r="L274" s="0" t="n">
        <v>2500</v>
      </c>
      <c r="M274" s="0" t="n">
        <v>1249</v>
      </c>
      <c r="N274" s="0" t="n">
        <v>6</v>
      </c>
      <c r="O274" s="0" t="n">
        <v>0</v>
      </c>
      <c r="P274" s="22" t="s">
        <v>127</v>
      </c>
      <c r="Q274" s="22" t="s">
        <v>106</v>
      </c>
      <c r="R274" s="23" t="n">
        <v>45293</v>
      </c>
      <c r="S274" s="0" t="n">
        <v>100000</v>
      </c>
      <c r="T274" s="22" t="s">
        <v>61</v>
      </c>
      <c r="U274" s="22" t="s">
        <v>64</v>
      </c>
      <c r="V274" s="0" t="n">
        <v>150</v>
      </c>
      <c r="W274" s="0" t="n">
        <f aca="false">tbl_Tasks_Clean[[#This Row],[Actual_Cost]]-tbl_Tasks_Clean[[#This Row],[Planned_Cost]]</f>
        <v>-1251</v>
      </c>
      <c r="X274" s="22" t="n">
        <f aca="false">IFERROR(tbl_Tasks_Clean[[#This Row],[Actual_Cost]]/tbl_Tasks_Clean[[#This Row],[Planned_Cost]],0)</f>
        <v>0.4996</v>
      </c>
      <c r="Y274" s="22" t="str">
        <f aca="false">IF(AND(tbl_Tasks_Clean[[#This Row],[Status]]="Completed",tbl_Tasks_Clean[[#This Row],[Delay_Days]]&lt;=0),"On Time","Late")</f>
        <v>Late</v>
      </c>
      <c r="Z274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274" s="22" t="str">
        <f aca="false">INDEX(tbl_Projects[Project_Manager],MATCH(tbl_Tasks_Clean[[#This Row],[Project_ID]],tbl_Projects[Project_ID],0))</f>
        <v>Laila Samir</v>
      </c>
      <c r="AB274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75" customFormat="false" ht="14.25" hidden="false" customHeight="false" outlineLevel="0" collapsed="false">
      <c r="A275" s="22" t="s">
        <v>1240</v>
      </c>
      <c r="B275" s="22" t="s">
        <v>129</v>
      </c>
      <c r="C275" s="22" t="s">
        <v>130</v>
      </c>
      <c r="D275" s="22" t="s">
        <v>1241</v>
      </c>
      <c r="E275" s="22" t="s">
        <v>63</v>
      </c>
      <c r="F275" s="22" t="s">
        <v>43</v>
      </c>
      <c r="G275" s="22" t="s">
        <v>275</v>
      </c>
      <c r="H275" s="22" t="s">
        <v>194</v>
      </c>
      <c r="I275" s="23" t="n">
        <v>45457</v>
      </c>
      <c r="J275" s="23" t="n">
        <v>45463</v>
      </c>
      <c r="K275" s="23" t="n">
        <v>45466</v>
      </c>
      <c r="L275" s="0" t="n">
        <v>8000</v>
      </c>
      <c r="M275" s="0" t="n">
        <v>11105</v>
      </c>
      <c r="N275" s="0" t="n">
        <v>6</v>
      </c>
      <c r="O275" s="0" t="n">
        <v>3</v>
      </c>
      <c r="P275" s="22" t="s">
        <v>118</v>
      </c>
      <c r="Q275" s="22" t="s">
        <v>131</v>
      </c>
      <c r="R275" s="23" t="n">
        <v>45379</v>
      </c>
      <c r="S275" s="0" t="n">
        <v>150000</v>
      </c>
      <c r="T275" s="22" t="s">
        <v>42</v>
      </c>
      <c r="U275" s="22" t="s">
        <v>45</v>
      </c>
      <c r="V275" s="0" t="n">
        <v>220</v>
      </c>
      <c r="W275" s="0" t="n">
        <f aca="false">tbl_Tasks_Clean[[#This Row],[Actual_Cost]]-tbl_Tasks_Clean[[#This Row],[Planned_Cost]]</f>
        <v>3105</v>
      </c>
      <c r="X275" s="22" t="n">
        <f aca="false">IFERROR(tbl_Tasks_Clean[[#This Row],[Actual_Cost]]/tbl_Tasks_Clean[[#This Row],[Planned_Cost]],0)</f>
        <v>1.388125</v>
      </c>
      <c r="Y275" s="22" t="str">
        <f aca="false">IF(AND(tbl_Tasks_Clean[[#This Row],[Status]]="Completed",tbl_Tasks_Clean[[#This Row],[Delay_Days]]&lt;=0),"On Time","Late")</f>
        <v>Late</v>
      </c>
      <c r="Z275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275" s="22" t="str">
        <f aca="false">INDEX(tbl_Projects[Project_Manager],MATCH(tbl_Tasks_Clean[[#This Row],[Project_ID]],tbl_Projects[Project_ID],0))</f>
        <v>Sara Hassan</v>
      </c>
      <c r="AB275" s="22" t="str">
        <f aca="false">IF(tbl_Tasks_Clean[[#This Row],[Delay_Days]]&gt;0,"Delayed by "&amp;TEXT(DATEDIF(tbl_Tasks_Clean[[#This Row],[Planned_End_Date]],tbl_Tasks_Clean[[#This Row],[Actual_End_Date]],"d"),"0")&amp;" days","No delay")</f>
        <v>Delayed by 3 days</v>
      </c>
    </row>
    <row r="276" customFormat="false" ht="14.25" hidden="false" customHeight="false" outlineLevel="0" collapsed="false">
      <c r="A276" s="22" t="s">
        <v>1244</v>
      </c>
      <c r="B276" s="22" t="s">
        <v>88</v>
      </c>
      <c r="C276" s="22" t="s">
        <v>89</v>
      </c>
      <c r="D276" s="22" t="s">
        <v>810</v>
      </c>
      <c r="E276" s="22" t="s">
        <v>54</v>
      </c>
      <c r="F276" s="22" t="s">
        <v>73</v>
      </c>
      <c r="G276" s="22" t="s">
        <v>275</v>
      </c>
      <c r="H276" s="22" t="s">
        <v>239</v>
      </c>
      <c r="I276" s="23" t="n">
        <v>45481</v>
      </c>
      <c r="J276" s="23" t="n">
        <v>45488</v>
      </c>
      <c r="K276" s="23" t="n">
        <v>45487</v>
      </c>
      <c r="L276" s="0" t="n">
        <v>1500</v>
      </c>
      <c r="M276" s="0" t="n">
        <v>1984</v>
      </c>
      <c r="N276" s="0" t="n">
        <v>7</v>
      </c>
      <c r="O276" s="0" t="n">
        <v>-1</v>
      </c>
      <c r="P276" s="22" t="s">
        <v>90</v>
      </c>
      <c r="Q276" s="22" t="s">
        <v>91</v>
      </c>
      <c r="R276" s="23" t="n">
        <v>45455</v>
      </c>
      <c r="S276" s="0" t="n">
        <v>75000</v>
      </c>
      <c r="T276" s="22" t="s">
        <v>72</v>
      </c>
      <c r="U276" s="22" t="s">
        <v>67</v>
      </c>
      <c r="V276" s="0" t="n">
        <v>200</v>
      </c>
      <c r="W276" s="0" t="n">
        <f aca="false">tbl_Tasks_Clean[[#This Row],[Actual_Cost]]-tbl_Tasks_Clean[[#This Row],[Planned_Cost]]</f>
        <v>484</v>
      </c>
      <c r="X276" s="22" t="n">
        <f aca="false">IFERROR(tbl_Tasks_Clean[[#This Row],[Actual_Cost]]/tbl_Tasks_Clean[[#This Row],[Planned_Cost]],0)</f>
        <v>1.32266666666667</v>
      </c>
      <c r="Y276" s="22" t="str">
        <f aca="false">IF(AND(tbl_Tasks_Clean[[#This Row],[Status]]="Completed",tbl_Tasks_Clean[[#This Row],[Delay_Days]]&lt;=0),"On Time","Late")</f>
        <v>On Time</v>
      </c>
      <c r="Z276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276" s="22" t="str">
        <f aca="false">INDEX(tbl_Projects[Project_Manager],MATCH(tbl_Tasks_Clean[[#This Row],[Project_ID]],tbl_Projects[Project_ID],0))</f>
        <v>Mona Farid</v>
      </c>
      <c r="AB276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77" customFormat="false" ht="14.25" hidden="false" customHeight="false" outlineLevel="0" collapsed="false">
      <c r="A277" s="22" t="s">
        <v>1246</v>
      </c>
      <c r="B277" s="22" t="s">
        <v>133</v>
      </c>
      <c r="C277" s="22" t="s">
        <v>134</v>
      </c>
      <c r="D277" s="22" t="s">
        <v>840</v>
      </c>
      <c r="E277" s="22" t="s">
        <v>44</v>
      </c>
      <c r="F277" s="22" t="s">
        <v>40</v>
      </c>
      <c r="G277" s="22" t="s">
        <v>175</v>
      </c>
      <c r="H277" s="22" t="s">
        <v>194</v>
      </c>
      <c r="I277" s="23" t="n">
        <v>45435</v>
      </c>
      <c r="J277" s="23" t="n">
        <v>45443</v>
      </c>
      <c r="K277" s="23" t="n">
        <v>45448</v>
      </c>
      <c r="L277" s="0" t="n">
        <v>1500</v>
      </c>
      <c r="M277" s="0" t="n">
        <v>1349</v>
      </c>
      <c r="N277" s="0" t="n">
        <v>8</v>
      </c>
      <c r="O277" s="0" t="n">
        <v>5</v>
      </c>
      <c r="P277" s="22" t="s">
        <v>135</v>
      </c>
      <c r="Q277" s="22" t="s">
        <v>101</v>
      </c>
      <c r="R277" s="23" t="n">
        <v>45347</v>
      </c>
      <c r="S277" s="0" t="n">
        <v>200000</v>
      </c>
      <c r="T277" s="22" t="s">
        <v>39</v>
      </c>
      <c r="U277" s="22" t="s">
        <v>41</v>
      </c>
      <c r="V277" s="0" t="n">
        <v>220</v>
      </c>
      <c r="W277" s="0" t="n">
        <f aca="false">tbl_Tasks_Clean[[#This Row],[Actual_Cost]]-tbl_Tasks_Clean[[#This Row],[Planned_Cost]]</f>
        <v>-151</v>
      </c>
      <c r="X277" s="22" t="n">
        <f aca="false">IFERROR(tbl_Tasks_Clean[[#This Row],[Actual_Cost]]/tbl_Tasks_Clean[[#This Row],[Planned_Cost]],0)</f>
        <v>0.899333333333333</v>
      </c>
      <c r="Y277" s="22" t="str">
        <f aca="false">IF(AND(tbl_Tasks_Clean[[#This Row],[Status]]="Completed",tbl_Tasks_Clean[[#This Row],[Delay_Days]]&lt;=0),"On Time","Late")</f>
        <v>Late</v>
      </c>
      <c r="Z277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77" s="22" t="str">
        <f aca="false">INDEX(tbl_Projects[Project_Manager],MATCH(tbl_Tasks_Clean[[#This Row],[Project_ID]],tbl_Projects[Project_ID],0))</f>
        <v>Ahmed Nabil</v>
      </c>
      <c r="AB277" s="22" t="str">
        <f aca="false">IF(tbl_Tasks_Clean[[#This Row],[Delay_Days]]&gt;0,"Delayed by "&amp;TEXT(DATEDIF(tbl_Tasks_Clean[[#This Row],[Planned_End_Date]],tbl_Tasks_Clean[[#This Row],[Actual_End_Date]],"d"),"0")&amp;" days","No delay")</f>
        <v>Delayed by 5 days</v>
      </c>
    </row>
    <row r="278" customFormat="false" ht="14.25" hidden="false" customHeight="false" outlineLevel="0" collapsed="false">
      <c r="A278" s="22" t="s">
        <v>1249</v>
      </c>
      <c r="B278" s="22" t="s">
        <v>125</v>
      </c>
      <c r="C278" s="22" t="s">
        <v>126</v>
      </c>
      <c r="D278" s="22" t="s">
        <v>354</v>
      </c>
      <c r="E278" s="22" t="s">
        <v>44</v>
      </c>
      <c r="F278" s="22" t="s">
        <v>6</v>
      </c>
      <c r="G278" s="22" t="s">
        <v>275</v>
      </c>
      <c r="H278" s="22" t="s">
        <v>194</v>
      </c>
      <c r="I278" s="23" t="n">
        <v>45410</v>
      </c>
      <c r="J278" s="23" t="n">
        <v>45413</v>
      </c>
      <c r="K278" s="23" t="n">
        <v>45413</v>
      </c>
      <c r="L278" s="0" t="n">
        <v>2000</v>
      </c>
      <c r="M278" s="0" t="n">
        <v>2018</v>
      </c>
      <c r="N278" s="0" t="n">
        <v>3</v>
      </c>
      <c r="O278" s="0" t="n">
        <v>0</v>
      </c>
      <c r="P278" s="22" t="s">
        <v>127</v>
      </c>
      <c r="Q278" s="22" t="s">
        <v>106</v>
      </c>
      <c r="R278" s="23" t="n">
        <v>45293</v>
      </c>
      <c r="S278" s="0" t="n">
        <v>100000</v>
      </c>
      <c r="T278" s="22" t="s">
        <v>5</v>
      </c>
      <c r="U278" s="22" t="s">
        <v>8</v>
      </c>
      <c r="V278" s="0" t="n">
        <v>150</v>
      </c>
      <c r="W278" s="0" t="n">
        <f aca="false">tbl_Tasks_Clean[[#This Row],[Actual_Cost]]-tbl_Tasks_Clean[[#This Row],[Planned_Cost]]</f>
        <v>18</v>
      </c>
      <c r="X278" s="22" t="n">
        <f aca="false">IFERROR(tbl_Tasks_Clean[[#This Row],[Actual_Cost]]/tbl_Tasks_Clean[[#This Row],[Planned_Cost]],0)</f>
        <v>1.009</v>
      </c>
      <c r="Y278" s="22" t="str">
        <f aca="false">IF(AND(tbl_Tasks_Clean[[#This Row],[Status]]="Completed",tbl_Tasks_Clean[[#This Row],[Delay_Days]]&lt;=0),"On Time","Late")</f>
        <v>Late</v>
      </c>
      <c r="Z278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278" s="22" t="str">
        <f aca="false">INDEX(tbl_Projects[Project_Manager],MATCH(tbl_Tasks_Clean[[#This Row],[Project_ID]],tbl_Projects[Project_ID],0))</f>
        <v>Laila Samir</v>
      </c>
      <c r="AB278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79" customFormat="false" ht="14.25" hidden="false" customHeight="false" outlineLevel="0" collapsed="false">
      <c r="A279" s="22" t="s">
        <v>1250</v>
      </c>
      <c r="B279" s="22" t="s">
        <v>143</v>
      </c>
      <c r="C279" s="22" t="s">
        <v>144</v>
      </c>
      <c r="D279" s="22" t="s">
        <v>910</v>
      </c>
      <c r="E279" s="22" t="s">
        <v>54</v>
      </c>
      <c r="F279" s="22" t="s">
        <v>40</v>
      </c>
      <c r="G279" s="22" t="s">
        <v>206</v>
      </c>
      <c r="H279" s="22" t="s">
        <v>212</v>
      </c>
      <c r="I279" s="23" t="n">
        <v>45396</v>
      </c>
      <c r="J279" s="23" t="n">
        <v>45418</v>
      </c>
      <c r="K279" s="23"/>
      <c r="L279" s="0" t="n">
        <v>3000</v>
      </c>
      <c r="M279" s="0" t="n">
        <v>2385</v>
      </c>
      <c r="N279" s="0" t="n">
        <v>22</v>
      </c>
      <c r="O279" s="0" t="n">
        <v>0</v>
      </c>
      <c r="P279" s="22" t="s">
        <v>145</v>
      </c>
      <c r="Q279" s="22" t="s">
        <v>101</v>
      </c>
      <c r="R279" s="23" t="n">
        <v>45303</v>
      </c>
      <c r="S279" s="0" t="n">
        <v>300000</v>
      </c>
      <c r="T279" s="22" t="s">
        <v>39</v>
      </c>
      <c r="U279" s="22" t="s">
        <v>41</v>
      </c>
      <c r="V279" s="0" t="n">
        <v>220</v>
      </c>
      <c r="W279" s="0" t="n">
        <f aca="false">tbl_Tasks_Clean[[#This Row],[Actual_Cost]]-tbl_Tasks_Clean[[#This Row],[Planned_Cost]]</f>
        <v>-615</v>
      </c>
      <c r="X279" s="22" t="n">
        <f aca="false">IFERROR(tbl_Tasks_Clean[[#This Row],[Actual_Cost]]/tbl_Tasks_Clean[[#This Row],[Planned_Cost]],0)</f>
        <v>0.795</v>
      </c>
      <c r="Y279" s="22" t="str">
        <f aca="false">IF(AND(tbl_Tasks_Clean[[#This Row],[Status]]="Completed",tbl_Tasks_Clean[[#This Row],[Delay_Days]]&lt;=0),"On Time","Late")</f>
        <v>Late</v>
      </c>
      <c r="Z279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79" s="22" t="str">
        <f aca="false">INDEX(tbl_Projects[Project_Manager],MATCH(tbl_Tasks_Clean[[#This Row],[Project_ID]],tbl_Projects[Project_ID],0))</f>
        <v>Ahmed Nabil</v>
      </c>
      <c r="AB279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80" customFormat="false" ht="14.25" hidden="false" customHeight="false" outlineLevel="0" collapsed="false">
      <c r="A280" s="22" t="s">
        <v>1253</v>
      </c>
      <c r="B280" s="22" t="s">
        <v>120</v>
      </c>
      <c r="C280" s="22" t="s">
        <v>121</v>
      </c>
      <c r="D280" s="22" t="s">
        <v>782</v>
      </c>
      <c r="E280" s="22" t="s">
        <v>63</v>
      </c>
      <c r="F280" s="22" t="s">
        <v>12</v>
      </c>
      <c r="G280" s="22" t="s">
        <v>206</v>
      </c>
      <c r="H280" s="22" t="s">
        <v>239</v>
      </c>
      <c r="I280" s="23" t="n">
        <v>45471</v>
      </c>
      <c r="J280" s="23" t="n">
        <v>45477</v>
      </c>
      <c r="K280" s="23" t="n">
        <v>45476</v>
      </c>
      <c r="L280" s="0" t="n">
        <v>5000</v>
      </c>
      <c r="M280" s="0" t="n">
        <v>6722</v>
      </c>
      <c r="N280" s="0" t="n">
        <v>6</v>
      </c>
      <c r="O280" s="0" t="n">
        <v>-1</v>
      </c>
      <c r="P280" s="22" t="s">
        <v>122</v>
      </c>
      <c r="Q280" s="22" t="s">
        <v>123</v>
      </c>
      <c r="R280" s="23" t="n">
        <v>45348</v>
      </c>
      <c r="S280" s="0" t="n">
        <v>300000</v>
      </c>
      <c r="T280" s="22" t="s">
        <v>11</v>
      </c>
      <c r="U280" s="22" t="s">
        <v>13</v>
      </c>
      <c r="V280" s="0" t="n">
        <v>280</v>
      </c>
      <c r="W280" s="0" t="n">
        <f aca="false">tbl_Tasks_Clean[[#This Row],[Actual_Cost]]-tbl_Tasks_Clean[[#This Row],[Planned_Cost]]</f>
        <v>1722</v>
      </c>
      <c r="X280" s="22" t="n">
        <f aca="false">IFERROR(tbl_Tasks_Clean[[#This Row],[Actual_Cost]]/tbl_Tasks_Clean[[#This Row],[Planned_Cost]],0)</f>
        <v>1.3444</v>
      </c>
      <c r="Y280" s="22" t="str">
        <f aca="false">IF(AND(tbl_Tasks_Clean[[#This Row],[Status]]="Completed",tbl_Tasks_Clean[[#This Row],[Delay_Days]]&lt;=0),"On Time","Late")</f>
        <v>On Time</v>
      </c>
      <c r="Z280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280" s="22" t="str">
        <f aca="false">INDEX(tbl_Projects[Project_Manager],MATCH(tbl_Tasks_Clean[[#This Row],[Project_ID]],tbl_Projects[Project_ID],0))</f>
        <v>Nourhan Tarek</v>
      </c>
      <c r="AB280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81" customFormat="false" ht="14.25" hidden="false" customHeight="false" outlineLevel="0" collapsed="false">
      <c r="A281" s="22" t="s">
        <v>1256</v>
      </c>
      <c r="B281" s="22" t="s">
        <v>112</v>
      </c>
      <c r="C281" s="22" t="s">
        <v>113</v>
      </c>
      <c r="D281" s="22" t="s">
        <v>1257</v>
      </c>
      <c r="E281" s="22" t="s">
        <v>21</v>
      </c>
      <c r="F281" s="22" t="s">
        <v>50</v>
      </c>
      <c r="G281" s="22" t="s">
        <v>275</v>
      </c>
      <c r="H281" s="22" t="s">
        <v>212</v>
      </c>
      <c r="I281" s="23" t="n">
        <v>45399</v>
      </c>
      <c r="J281" s="23" t="n">
        <v>45415</v>
      </c>
      <c r="K281" s="23"/>
      <c r="L281" s="0" t="n">
        <v>8000</v>
      </c>
      <c r="M281" s="0" t="n">
        <v>5320</v>
      </c>
      <c r="N281" s="0" t="n">
        <v>16</v>
      </c>
      <c r="O281" s="0" t="n">
        <v>0</v>
      </c>
      <c r="P281" s="22" t="s">
        <v>114</v>
      </c>
      <c r="Q281" s="22" t="s">
        <v>91</v>
      </c>
      <c r="R281" s="23" t="n">
        <v>45347</v>
      </c>
      <c r="S281" s="0" t="n">
        <v>120000</v>
      </c>
      <c r="T281" s="22" t="s">
        <v>49</v>
      </c>
      <c r="U281" s="22" t="s">
        <v>51</v>
      </c>
      <c r="V281" s="0" t="n">
        <v>300</v>
      </c>
      <c r="W281" s="0" t="n">
        <f aca="false">tbl_Tasks_Clean[[#This Row],[Actual_Cost]]-tbl_Tasks_Clean[[#This Row],[Planned_Cost]]</f>
        <v>-2680</v>
      </c>
      <c r="X281" s="22" t="n">
        <f aca="false">IFERROR(tbl_Tasks_Clean[[#This Row],[Actual_Cost]]/tbl_Tasks_Clean[[#This Row],[Planned_Cost]],0)</f>
        <v>0.665</v>
      </c>
      <c r="Y281" s="22" t="str">
        <f aca="false">IF(AND(tbl_Tasks_Clean[[#This Row],[Status]]="Completed",tbl_Tasks_Clean[[#This Row],[Delay_Days]]&lt;=0),"On Time","Late")</f>
        <v>Late</v>
      </c>
      <c r="Z281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81" s="22" t="str">
        <f aca="false">INDEX(tbl_Projects[Project_Manager],MATCH(tbl_Tasks_Clean[[#This Row],[Project_ID]],tbl_Projects[Project_ID],0))</f>
        <v>Mona Farid</v>
      </c>
      <c r="AB281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82" customFormat="false" ht="14.25" hidden="false" customHeight="false" outlineLevel="0" collapsed="false">
      <c r="A282" s="22" t="s">
        <v>1259</v>
      </c>
      <c r="B282" s="22" t="s">
        <v>136</v>
      </c>
      <c r="C282" s="22" t="s">
        <v>137</v>
      </c>
      <c r="D282" s="22" t="s">
        <v>1260</v>
      </c>
      <c r="E282" s="22" t="s">
        <v>54</v>
      </c>
      <c r="F282" s="22" t="s">
        <v>37</v>
      </c>
      <c r="G282" s="22" t="s">
        <v>175</v>
      </c>
      <c r="H282" s="22" t="s">
        <v>239</v>
      </c>
      <c r="I282" s="23" t="n">
        <v>45344</v>
      </c>
      <c r="J282" s="23" t="n">
        <v>45350</v>
      </c>
      <c r="K282" s="23" t="n">
        <v>45352</v>
      </c>
      <c r="L282" s="0" t="n">
        <v>2500</v>
      </c>
      <c r="M282" s="0" t="n">
        <v>1754</v>
      </c>
      <c r="N282" s="0" t="n">
        <v>6</v>
      </c>
      <c r="O282" s="0" t="n">
        <v>2</v>
      </c>
      <c r="P282" s="22" t="s">
        <v>138</v>
      </c>
      <c r="Q282" s="22" t="s">
        <v>101</v>
      </c>
      <c r="R282" s="23" t="n">
        <v>45315</v>
      </c>
      <c r="S282" s="0" t="n">
        <v>250000</v>
      </c>
      <c r="T282" s="22" t="s">
        <v>36</v>
      </c>
      <c r="U282" s="22" t="s">
        <v>38</v>
      </c>
      <c r="V282" s="0" t="n">
        <v>280</v>
      </c>
      <c r="W282" s="0" t="n">
        <f aca="false">tbl_Tasks_Clean[[#This Row],[Actual_Cost]]-tbl_Tasks_Clean[[#This Row],[Planned_Cost]]</f>
        <v>-746</v>
      </c>
      <c r="X282" s="22" t="n">
        <f aca="false">IFERROR(tbl_Tasks_Clean[[#This Row],[Actual_Cost]]/tbl_Tasks_Clean[[#This Row],[Planned_Cost]],0)</f>
        <v>0.7016</v>
      </c>
      <c r="Y282" s="22" t="str">
        <f aca="false">IF(AND(tbl_Tasks_Clean[[#This Row],[Status]]="Completed",tbl_Tasks_Clean[[#This Row],[Delay_Days]]&lt;=0),"On Time","Late")</f>
        <v>Late</v>
      </c>
      <c r="Z282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282" s="22" t="str">
        <f aca="false">INDEX(tbl_Projects[Project_Manager],MATCH(tbl_Tasks_Clean[[#This Row],[Project_ID]],tbl_Projects[Project_ID],0))</f>
        <v>Ahmed Nabil</v>
      </c>
      <c r="AB282" s="22" t="str">
        <f aca="false">IF(tbl_Tasks_Clean[[#This Row],[Delay_Days]]&gt;0,"Delayed by "&amp;TEXT(DATEDIF(tbl_Tasks_Clean[[#This Row],[Planned_End_Date]],tbl_Tasks_Clean[[#This Row],[Actual_End_Date]],"d"),"0")&amp;" days","No delay")</f>
        <v>Delayed by 2 days</v>
      </c>
    </row>
    <row r="283" customFormat="false" ht="14.25" hidden="false" customHeight="false" outlineLevel="0" collapsed="false">
      <c r="A283" s="22" t="s">
        <v>1265</v>
      </c>
      <c r="B283" s="22" t="s">
        <v>98</v>
      </c>
      <c r="C283" s="22" t="s">
        <v>99</v>
      </c>
      <c r="D283" s="22" t="s">
        <v>1266</v>
      </c>
      <c r="E283" s="22" t="s">
        <v>7</v>
      </c>
      <c r="F283" s="22" t="s">
        <v>26</v>
      </c>
      <c r="G283" s="22" t="s">
        <v>175</v>
      </c>
      <c r="H283" s="22" t="s">
        <v>201</v>
      </c>
      <c r="I283" s="23" t="n">
        <v>45361</v>
      </c>
      <c r="J283" s="23" t="n">
        <v>45389</v>
      </c>
      <c r="K283" s="23"/>
      <c r="L283" s="0" t="n">
        <v>4000</v>
      </c>
      <c r="M283" s="0" t="n">
        <v>0</v>
      </c>
      <c r="N283" s="0" t="n">
        <v>28</v>
      </c>
      <c r="O283" s="0" t="n">
        <v>0</v>
      </c>
      <c r="P283" s="22" t="s">
        <v>100</v>
      </c>
      <c r="Q283" s="22" t="s">
        <v>101</v>
      </c>
      <c r="R283" s="23" t="n">
        <v>45349</v>
      </c>
      <c r="S283" s="0" t="n">
        <v>100000</v>
      </c>
      <c r="T283" s="22" t="s">
        <v>25</v>
      </c>
      <c r="U283" s="22" t="s">
        <v>27</v>
      </c>
      <c r="V283" s="0" t="n">
        <v>200</v>
      </c>
      <c r="W283" s="0" t="n">
        <f aca="false">tbl_Tasks_Clean[[#This Row],[Actual_Cost]]-tbl_Tasks_Clean[[#This Row],[Planned_Cost]]</f>
        <v>-4000</v>
      </c>
      <c r="X283" s="22" t="n">
        <f aca="false">IFERROR(tbl_Tasks_Clean[[#This Row],[Actual_Cost]]/tbl_Tasks_Clean[[#This Row],[Planned_Cost]],0)</f>
        <v>0</v>
      </c>
      <c r="Y283" s="22" t="str">
        <f aca="false">IF(AND(tbl_Tasks_Clean[[#This Row],[Status]]="Completed",tbl_Tasks_Clean[[#This Row],[Delay_Days]]&lt;=0),"On Time","Late")</f>
        <v>Late</v>
      </c>
      <c r="Z283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83" s="22" t="str">
        <f aca="false">INDEX(tbl_Projects[Project_Manager],MATCH(tbl_Tasks_Clean[[#This Row],[Project_ID]],tbl_Projects[Project_ID],0))</f>
        <v>Ahmed Nabil</v>
      </c>
      <c r="AB283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84" customFormat="false" ht="14.25" hidden="false" customHeight="false" outlineLevel="0" collapsed="false">
      <c r="A284" s="22" t="s">
        <v>1268</v>
      </c>
      <c r="B284" s="22" t="s">
        <v>98</v>
      </c>
      <c r="C284" s="22" t="s">
        <v>99</v>
      </c>
      <c r="D284" s="22" t="s">
        <v>1269</v>
      </c>
      <c r="E284" s="22" t="s">
        <v>34</v>
      </c>
      <c r="F284" s="22" t="s">
        <v>12</v>
      </c>
      <c r="G284" s="22" t="s">
        <v>175</v>
      </c>
      <c r="H284" s="22" t="s">
        <v>212</v>
      </c>
      <c r="I284" s="23" t="n">
        <v>45493</v>
      </c>
      <c r="J284" s="23" t="n">
        <v>45517</v>
      </c>
      <c r="K284" s="23"/>
      <c r="L284" s="0" t="n">
        <v>2000</v>
      </c>
      <c r="M284" s="0" t="n">
        <v>604</v>
      </c>
      <c r="N284" s="0" t="n">
        <v>24</v>
      </c>
      <c r="O284" s="0" t="n">
        <v>0</v>
      </c>
      <c r="P284" s="22" t="s">
        <v>100</v>
      </c>
      <c r="Q284" s="22" t="s">
        <v>101</v>
      </c>
      <c r="R284" s="23" t="n">
        <v>45349</v>
      </c>
      <c r="S284" s="0" t="n">
        <v>100000</v>
      </c>
      <c r="T284" s="22" t="s">
        <v>11</v>
      </c>
      <c r="U284" s="22" t="s">
        <v>13</v>
      </c>
      <c r="V284" s="0" t="n">
        <v>280</v>
      </c>
      <c r="W284" s="0" t="n">
        <f aca="false">tbl_Tasks_Clean[[#This Row],[Actual_Cost]]-tbl_Tasks_Clean[[#This Row],[Planned_Cost]]</f>
        <v>-1396</v>
      </c>
      <c r="X284" s="22" t="n">
        <f aca="false">IFERROR(tbl_Tasks_Clean[[#This Row],[Actual_Cost]]/tbl_Tasks_Clean[[#This Row],[Planned_Cost]],0)</f>
        <v>0.302</v>
      </c>
      <c r="Y284" s="22" t="str">
        <f aca="false">IF(AND(tbl_Tasks_Clean[[#This Row],[Status]]="Completed",tbl_Tasks_Clean[[#This Row],[Delay_Days]]&lt;=0),"On Time","Late")</f>
        <v>Late</v>
      </c>
      <c r="Z284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84" s="22" t="str">
        <f aca="false">INDEX(tbl_Projects[Project_Manager],MATCH(tbl_Tasks_Clean[[#This Row],[Project_ID]],tbl_Projects[Project_ID],0))</f>
        <v>Ahmed Nabil</v>
      </c>
      <c r="AB284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85" customFormat="false" ht="14.25" hidden="false" customHeight="false" outlineLevel="0" collapsed="false">
      <c r="A285" s="22" t="s">
        <v>1272</v>
      </c>
      <c r="B285" s="22" t="s">
        <v>143</v>
      </c>
      <c r="C285" s="22" t="s">
        <v>144</v>
      </c>
      <c r="D285" s="22" t="s">
        <v>216</v>
      </c>
      <c r="E285" s="22" t="s">
        <v>44</v>
      </c>
      <c r="F285" s="22" t="s">
        <v>60</v>
      </c>
      <c r="G285" s="22" t="s">
        <v>175</v>
      </c>
      <c r="H285" s="22" t="s">
        <v>239</v>
      </c>
      <c r="I285" s="23" t="n">
        <v>45434</v>
      </c>
      <c r="J285" s="23" t="n">
        <v>45441</v>
      </c>
      <c r="K285" s="23" t="n">
        <v>45441</v>
      </c>
      <c r="L285" s="0" t="n">
        <v>2000</v>
      </c>
      <c r="M285" s="0" t="n">
        <v>1651</v>
      </c>
      <c r="N285" s="0" t="n">
        <v>7</v>
      </c>
      <c r="O285" s="0" t="n">
        <v>0</v>
      </c>
      <c r="P285" s="22" t="s">
        <v>145</v>
      </c>
      <c r="Q285" s="22" t="s">
        <v>101</v>
      </c>
      <c r="R285" s="23" t="n">
        <v>45303</v>
      </c>
      <c r="S285" s="0" t="n">
        <v>300000</v>
      </c>
      <c r="T285" s="22" t="s">
        <v>59</v>
      </c>
      <c r="U285" s="22" t="s">
        <v>58</v>
      </c>
      <c r="V285" s="0" t="n">
        <v>300</v>
      </c>
      <c r="W285" s="0" t="n">
        <f aca="false">tbl_Tasks_Clean[[#This Row],[Actual_Cost]]-tbl_Tasks_Clean[[#This Row],[Planned_Cost]]</f>
        <v>-349</v>
      </c>
      <c r="X285" s="22" t="n">
        <f aca="false">IFERROR(tbl_Tasks_Clean[[#This Row],[Actual_Cost]]/tbl_Tasks_Clean[[#This Row],[Planned_Cost]],0)</f>
        <v>0.8255</v>
      </c>
      <c r="Y285" s="22" t="str">
        <f aca="false">IF(AND(tbl_Tasks_Clean[[#This Row],[Status]]="Completed",tbl_Tasks_Clean[[#This Row],[Delay_Days]]&lt;=0),"On Time","Late")</f>
        <v>On Time</v>
      </c>
      <c r="Z285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285" s="22" t="str">
        <f aca="false">INDEX(tbl_Projects[Project_Manager],MATCH(tbl_Tasks_Clean[[#This Row],[Project_ID]],tbl_Projects[Project_ID],0))</f>
        <v>Ahmed Nabil</v>
      </c>
      <c r="AB285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86" customFormat="false" ht="14.25" hidden="false" customHeight="false" outlineLevel="0" collapsed="false">
      <c r="A286" s="22" t="s">
        <v>1274</v>
      </c>
      <c r="B286" s="22" t="s">
        <v>103</v>
      </c>
      <c r="C286" s="22" t="s">
        <v>104</v>
      </c>
      <c r="D286" s="22" t="s">
        <v>1275</v>
      </c>
      <c r="E286" s="22" t="s">
        <v>34</v>
      </c>
      <c r="F286" s="22" t="s">
        <v>26</v>
      </c>
      <c r="G286" s="22" t="s">
        <v>275</v>
      </c>
      <c r="H286" s="22" t="s">
        <v>212</v>
      </c>
      <c r="I286" s="23" t="n">
        <v>45557</v>
      </c>
      <c r="J286" s="23" t="n">
        <v>45562</v>
      </c>
      <c r="K286" s="23"/>
      <c r="L286" s="0" t="n">
        <v>5000</v>
      </c>
      <c r="M286" s="0" t="n">
        <v>3533</v>
      </c>
      <c r="N286" s="0" t="n">
        <v>5</v>
      </c>
      <c r="O286" s="0" t="n">
        <v>0</v>
      </c>
      <c r="P286" s="22" t="s">
        <v>105</v>
      </c>
      <c r="Q286" s="22" t="s">
        <v>106</v>
      </c>
      <c r="R286" s="23" t="n">
        <v>45465</v>
      </c>
      <c r="S286" s="0" t="n">
        <v>75000</v>
      </c>
      <c r="T286" s="22" t="s">
        <v>25</v>
      </c>
      <c r="U286" s="22" t="s">
        <v>27</v>
      </c>
      <c r="V286" s="0" t="n">
        <v>200</v>
      </c>
      <c r="W286" s="0" t="n">
        <f aca="false">tbl_Tasks_Clean[[#This Row],[Actual_Cost]]-tbl_Tasks_Clean[[#This Row],[Planned_Cost]]</f>
        <v>-1467</v>
      </c>
      <c r="X286" s="22" t="n">
        <f aca="false">IFERROR(tbl_Tasks_Clean[[#This Row],[Actual_Cost]]/tbl_Tasks_Clean[[#This Row],[Planned_Cost]],0)</f>
        <v>0.7066</v>
      </c>
      <c r="Y286" s="22" t="str">
        <f aca="false">IF(AND(tbl_Tasks_Clean[[#This Row],[Status]]="Completed",tbl_Tasks_Clean[[#This Row],[Delay_Days]]&lt;=0),"On Time","Late")</f>
        <v>Late</v>
      </c>
      <c r="Z286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286" s="22" t="str">
        <f aca="false">INDEX(tbl_Projects[Project_Manager],MATCH(tbl_Tasks_Clean[[#This Row],[Project_ID]],tbl_Projects[Project_ID],0))</f>
        <v>Laila Samir</v>
      </c>
      <c r="AB286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87" customFormat="false" ht="14.25" hidden="false" customHeight="false" outlineLevel="0" collapsed="false">
      <c r="A287" s="22" t="s">
        <v>1278</v>
      </c>
      <c r="B287" s="22" t="s">
        <v>125</v>
      </c>
      <c r="C287" s="22" t="s">
        <v>126</v>
      </c>
      <c r="D287" s="22" t="s">
        <v>761</v>
      </c>
      <c r="E287" s="22" t="s">
        <v>44</v>
      </c>
      <c r="F287" s="22" t="s">
        <v>31</v>
      </c>
      <c r="G287" s="22" t="s">
        <v>206</v>
      </c>
      <c r="H287" s="22" t="s">
        <v>239</v>
      </c>
      <c r="I287" s="23" t="n">
        <v>45356</v>
      </c>
      <c r="J287" s="23" t="n">
        <v>45376</v>
      </c>
      <c r="K287" s="23" t="n">
        <v>45377</v>
      </c>
      <c r="L287" s="0" t="n">
        <v>10000</v>
      </c>
      <c r="M287" s="0" t="n">
        <v>12048</v>
      </c>
      <c r="N287" s="0" t="n">
        <v>20</v>
      </c>
      <c r="O287" s="0" t="n">
        <v>1</v>
      </c>
      <c r="P287" s="22" t="s">
        <v>127</v>
      </c>
      <c r="Q287" s="22" t="s">
        <v>106</v>
      </c>
      <c r="R287" s="23" t="n">
        <v>45293</v>
      </c>
      <c r="S287" s="0" t="n">
        <v>100000</v>
      </c>
      <c r="T287" s="22" t="s">
        <v>30</v>
      </c>
      <c r="U287" s="22" t="s">
        <v>27</v>
      </c>
      <c r="V287" s="0" t="n">
        <v>220</v>
      </c>
      <c r="W287" s="0" t="n">
        <f aca="false">tbl_Tasks_Clean[[#This Row],[Actual_Cost]]-tbl_Tasks_Clean[[#This Row],[Planned_Cost]]</f>
        <v>2048</v>
      </c>
      <c r="X287" s="22" t="n">
        <f aca="false">IFERROR(tbl_Tasks_Clean[[#This Row],[Actual_Cost]]/tbl_Tasks_Clean[[#This Row],[Planned_Cost]],0)</f>
        <v>1.2048</v>
      </c>
      <c r="Y287" s="22" t="str">
        <f aca="false">IF(AND(tbl_Tasks_Clean[[#This Row],[Status]]="Completed",tbl_Tasks_Clean[[#This Row],[Delay_Days]]&lt;=0),"On Time","Late")</f>
        <v>Late</v>
      </c>
      <c r="Z287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87" s="22" t="str">
        <f aca="false">INDEX(tbl_Projects[Project_Manager],MATCH(tbl_Tasks_Clean[[#This Row],[Project_ID]],tbl_Projects[Project_ID],0))</f>
        <v>Laila Samir</v>
      </c>
      <c r="AB287" s="22" t="str">
        <f aca="false">IF(tbl_Tasks_Clean[[#This Row],[Delay_Days]]&gt;0,"Delayed by "&amp;TEXT(DATEDIF(tbl_Tasks_Clean[[#This Row],[Planned_End_Date]],tbl_Tasks_Clean[[#This Row],[Actual_End_Date]],"d"),"0")&amp;" days","No delay")</f>
        <v>Delayed by 1 days</v>
      </c>
    </row>
    <row r="288" customFormat="false" ht="14.25" hidden="false" customHeight="false" outlineLevel="0" collapsed="false">
      <c r="A288" s="22" t="s">
        <v>1282</v>
      </c>
      <c r="B288" s="22" t="s">
        <v>93</v>
      </c>
      <c r="C288" s="22" t="s">
        <v>94</v>
      </c>
      <c r="D288" s="22" t="s">
        <v>1015</v>
      </c>
      <c r="E288" s="22" t="s">
        <v>34</v>
      </c>
      <c r="F288" s="22" t="s">
        <v>62</v>
      </c>
      <c r="G288" s="22" t="s">
        <v>275</v>
      </c>
      <c r="H288" s="22" t="s">
        <v>212</v>
      </c>
      <c r="I288" s="23" t="n">
        <v>45507</v>
      </c>
      <c r="J288" s="23" t="n">
        <v>45532</v>
      </c>
      <c r="K288" s="23"/>
      <c r="L288" s="0" t="n">
        <v>3000</v>
      </c>
      <c r="M288" s="0" t="n">
        <v>2131</v>
      </c>
      <c r="N288" s="0" t="n">
        <v>25</v>
      </c>
      <c r="O288" s="0" t="n">
        <v>0</v>
      </c>
      <c r="P288" s="22" t="s">
        <v>95</v>
      </c>
      <c r="Q288" s="22" t="s">
        <v>96</v>
      </c>
      <c r="R288" s="23" t="n">
        <v>45481</v>
      </c>
      <c r="S288" s="0" t="n">
        <v>150000</v>
      </c>
      <c r="T288" s="22" t="s">
        <v>61</v>
      </c>
      <c r="U288" s="22" t="s">
        <v>64</v>
      </c>
      <c r="V288" s="0" t="n">
        <v>150</v>
      </c>
      <c r="W288" s="0" t="n">
        <f aca="false">tbl_Tasks_Clean[[#This Row],[Actual_Cost]]-tbl_Tasks_Clean[[#This Row],[Planned_Cost]]</f>
        <v>-869</v>
      </c>
      <c r="X288" s="22" t="n">
        <f aca="false">IFERROR(tbl_Tasks_Clean[[#This Row],[Actual_Cost]]/tbl_Tasks_Clean[[#This Row],[Planned_Cost]],0)</f>
        <v>0.710333333333333</v>
      </c>
      <c r="Y288" s="22" t="str">
        <f aca="false">IF(AND(tbl_Tasks_Clean[[#This Row],[Status]]="Completed",tbl_Tasks_Clean[[#This Row],[Delay_Days]]&lt;=0),"On Time","Late")</f>
        <v>Late</v>
      </c>
      <c r="Z288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88" s="22" t="str">
        <f aca="false">INDEX(tbl_Projects[Project_Manager],MATCH(tbl_Tasks_Clean[[#This Row],[Project_ID]],tbl_Projects[Project_ID],0))</f>
        <v>Youssef Adel</v>
      </c>
      <c r="AB288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89" customFormat="false" ht="14.25" hidden="false" customHeight="false" outlineLevel="0" collapsed="false">
      <c r="A289" s="22" t="s">
        <v>1285</v>
      </c>
      <c r="B289" s="22" t="s">
        <v>125</v>
      </c>
      <c r="C289" s="22" t="s">
        <v>126</v>
      </c>
      <c r="D289" s="22" t="s">
        <v>370</v>
      </c>
      <c r="E289" s="22" t="s">
        <v>21</v>
      </c>
      <c r="F289" s="22" t="s">
        <v>29</v>
      </c>
      <c r="G289" s="22" t="s">
        <v>206</v>
      </c>
      <c r="H289" s="22" t="s">
        <v>239</v>
      </c>
      <c r="I289" s="23" t="n">
        <v>45430</v>
      </c>
      <c r="J289" s="23" t="n">
        <v>45438</v>
      </c>
      <c r="K289" s="23" t="n">
        <v>45437</v>
      </c>
      <c r="L289" s="0" t="n">
        <v>3000</v>
      </c>
      <c r="M289" s="0" t="n">
        <v>2708</v>
      </c>
      <c r="N289" s="0" t="n">
        <v>8</v>
      </c>
      <c r="O289" s="0" t="n">
        <v>-1</v>
      </c>
      <c r="P289" s="22" t="s">
        <v>127</v>
      </c>
      <c r="Q289" s="22" t="s">
        <v>106</v>
      </c>
      <c r="R289" s="23" t="n">
        <v>45293</v>
      </c>
      <c r="S289" s="0" t="n">
        <v>100000</v>
      </c>
      <c r="T289" s="22" t="s">
        <v>28</v>
      </c>
      <c r="U289" s="22" t="s">
        <v>22</v>
      </c>
      <c r="V289" s="0" t="n">
        <v>200</v>
      </c>
      <c r="W289" s="0" t="n">
        <f aca="false">tbl_Tasks_Clean[[#This Row],[Actual_Cost]]-tbl_Tasks_Clean[[#This Row],[Planned_Cost]]</f>
        <v>-292</v>
      </c>
      <c r="X289" s="22" t="n">
        <f aca="false">IFERROR(tbl_Tasks_Clean[[#This Row],[Actual_Cost]]/tbl_Tasks_Clean[[#This Row],[Planned_Cost]],0)</f>
        <v>0.902666666666667</v>
      </c>
      <c r="Y289" s="22" t="str">
        <f aca="false">IF(AND(tbl_Tasks_Clean[[#This Row],[Status]]="Completed",tbl_Tasks_Clean[[#This Row],[Delay_Days]]&lt;=0),"On Time","Late")</f>
        <v>On Time</v>
      </c>
      <c r="Z289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89" s="22" t="str">
        <f aca="false">INDEX(tbl_Projects[Project_Manager],MATCH(tbl_Tasks_Clean[[#This Row],[Project_ID]],tbl_Projects[Project_ID],0))</f>
        <v>Laila Samir</v>
      </c>
      <c r="AB289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90" customFormat="false" ht="14.25" hidden="false" customHeight="false" outlineLevel="0" collapsed="false">
      <c r="A290" s="22" t="s">
        <v>1287</v>
      </c>
      <c r="B290" s="22" t="s">
        <v>98</v>
      </c>
      <c r="C290" s="22" t="s">
        <v>99</v>
      </c>
      <c r="D290" s="22" t="s">
        <v>934</v>
      </c>
      <c r="E290" s="22" t="s">
        <v>7</v>
      </c>
      <c r="F290" s="22" t="s">
        <v>57</v>
      </c>
      <c r="G290" s="22" t="s">
        <v>275</v>
      </c>
      <c r="H290" s="22" t="s">
        <v>239</v>
      </c>
      <c r="I290" s="23" t="n">
        <v>45476</v>
      </c>
      <c r="J290" s="23" t="n">
        <v>45499</v>
      </c>
      <c r="K290" s="23" t="n">
        <v>45499</v>
      </c>
      <c r="L290" s="0" t="n">
        <v>1000</v>
      </c>
      <c r="M290" s="0" t="n">
        <v>842</v>
      </c>
      <c r="N290" s="0" t="n">
        <v>23</v>
      </c>
      <c r="O290" s="0" t="n">
        <v>0</v>
      </c>
      <c r="P290" s="22" t="s">
        <v>100</v>
      </c>
      <c r="Q290" s="22" t="s">
        <v>101</v>
      </c>
      <c r="R290" s="23" t="n">
        <v>45349</v>
      </c>
      <c r="S290" s="0" t="n">
        <v>100000</v>
      </c>
      <c r="T290" s="22" t="s">
        <v>56</v>
      </c>
      <c r="U290" s="22" t="s">
        <v>58</v>
      </c>
      <c r="V290" s="0" t="n">
        <v>150</v>
      </c>
      <c r="W290" s="0" t="n">
        <f aca="false">tbl_Tasks_Clean[[#This Row],[Actual_Cost]]-tbl_Tasks_Clean[[#This Row],[Planned_Cost]]</f>
        <v>-158</v>
      </c>
      <c r="X290" s="22" t="n">
        <f aca="false">IFERROR(tbl_Tasks_Clean[[#This Row],[Actual_Cost]]/tbl_Tasks_Clean[[#This Row],[Planned_Cost]],0)</f>
        <v>0.842</v>
      </c>
      <c r="Y290" s="22" t="str">
        <f aca="false">IF(AND(tbl_Tasks_Clean[[#This Row],[Status]]="Completed",tbl_Tasks_Clean[[#This Row],[Delay_Days]]&lt;=0),"On Time","Late")</f>
        <v>On Time</v>
      </c>
      <c r="Z290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90" s="22" t="str">
        <f aca="false">INDEX(tbl_Projects[Project_Manager],MATCH(tbl_Tasks_Clean[[#This Row],[Project_ID]],tbl_Projects[Project_ID],0))</f>
        <v>Ahmed Nabil</v>
      </c>
      <c r="AB290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91" customFormat="false" ht="14.25" hidden="false" customHeight="false" outlineLevel="0" collapsed="false">
      <c r="A291" s="22" t="s">
        <v>1290</v>
      </c>
      <c r="B291" s="22" t="s">
        <v>140</v>
      </c>
      <c r="C291" s="22" t="s">
        <v>141</v>
      </c>
      <c r="D291" s="22" t="s">
        <v>160</v>
      </c>
      <c r="E291" s="22" t="s">
        <v>76</v>
      </c>
      <c r="F291" s="22" t="s">
        <v>79</v>
      </c>
      <c r="G291" s="22" t="s">
        <v>206</v>
      </c>
      <c r="H291" s="22" t="s">
        <v>239</v>
      </c>
      <c r="I291" s="23" t="n">
        <v>45396</v>
      </c>
      <c r="J291" s="23" t="n">
        <v>45420</v>
      </c>
      <c r="K291" s="23" t="n">
        <v>45417</v>
      </c>
      <c r="L291" s="0" t="n">
        <v>2500</v>
      </c>
      <c r="M291" s="0" t="n">
        <v>2217</v>
      </c>
      <c r="N291" s="0" t="n">
        <v>24</v>
      </c>
      <c r="O291" s="0" t="n">
        <v>-3</v>
      </c>
      <c r="P291" s="22" t="s">
        <v>118</v>
      </c>
      <c r="Q291" s="22" t="s">
        <v>123</v>
      </c>
      <c r="R291" s="23" t="n">
        <v>45383</v>
      </c>
      <c r="S291" s="0" t="n">
        <v>200000</v>
      </c>
      <c r="T291" s="22" t="s">
        <v>78</v>
      </c>
      <c r="U291" s="22" t="s">
        <v>77</v>
      </c>
      <c r="V291" s="0" t="n">
        <v>250</v>
      </c>
      <c r="W291" s="0" t="n">
        <f aca="false">tbl_Tasks_Clean[[#This Row],[Actual_Cost]]-tbl_Tasks_Clean[[#This Row],[Planned_Cost]]</f>
        <v>-283</v>
      </c>
      <c r="X291" s="22" t="n">
        <f aca="false">IFERROR(tbl_Tasks_Clean[[#This Row],[Actual_Cost]]/tbl_Tasks_Clean[[#This Row],[Planned_Cost]],0)</f>
        <v>0.8868</v>
      </c>
      <c r="Y291" s="22" t="str">
        <f aca="false">IF(AND(tbl_Tasks_Clean[[#This Row],[Status]]="Completed",tbl_Tasks_Clean[[#This Row],[Delay_Days]]&lt;=0),"On Time","Late")</f>
        <v>On Time</v>
      </c>
      <c r="Z291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91" s="22" t="str">
        <f aca="false">INDEX(tbl_Projects[Project_Manager],MATCH(tbl_Tasks_Clean[[#This Row],[Project_ID]],tbl_Projects[Project_ID],0))</f>
        <v>Nourhan Tarek</v>
      </c>
      <c r="AB291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92" customFormat="false" ht="14.25" hidden="false" customHeight="false" outlineLevel="0" collapsed="false">
      <c r="A292" s="22" t="s">
        <v>1294</v>
      </c>
      <c r="B292" s="22" t="s">
        <v>103</v>
      </c>
      <c r="C292" s="22" t="s">
        <v>104</v>
      </c>
      <c r="D292" s="22" t="s">
        <v>269</v>
      </c>
      <c r="E292" s="22" t="s">
        <v>21</v>
      </c>
      <c r="F292" s="22" t="s">
        <v>47</v>
      </c>
      <c r="G292" s="22" t="s">
        <v>275</v>
      </c>
      <c r="H292" s="22" t="s">
        <v>212</v>
      </c>
      <c r="I292" s="23" t="n">
        <v>45583</v>
      </c>
      <c r="J292" s="23" t="n">
        <v>45610</v>
      </c>
      <c r="K292" s="23"/>
      <c r="L292" s="0" t="n">
        <v>10000</v>
      </c>
      <c r="M292" s="0" t="n">
        <v>6559</v>
      </c>
      <c r="N292" s="0" t="n">
        <v>27</v>
      </c>
      <c r="O292" s="0" t="n">
        <v>0</v>
      </c>
      <c r="P292" s="22" t="s">
        <v>105</v>
      </c>
      <c r="Q292" s="22" t="s">
        <v>106</v>
      </c>
      <c r="R292" s="23" t="n">
        <v>45465</v>
      </c>
      <c r="S292" s="0" t="n">
        <v>75000</v>
      </c>
      <c r="T292" s="22" t="s">
        <v>46</v>
      </c>
      <c r="U292" s="22" t="s">
        <v>48</v>
      </c>
      <c r="V292" s="0" t="n">
        <v>280</v>
      </c>
      <c r="W292" s="0" t="n">
        <f aca="false">tbl_Tasks_Clean[[#This Row],[Actual_Cost]]-tbl_Tasks_Clean[[#This Row],[Planned_Cost]]</f>
        <v>-3441</v>
      </c>
      <c r="X292" s="22" t="n">
        <f aca="false">IFERROR(tbl_Tasks_Clean[[#This Row],[Actual_Cost]]/tbl_Tasks_Clean[[#This Row],[Planned_Cost]],0)</f>
        <v>0.6559</v>
      </c>
      <c r="Y292" s="22" t="str">
        <f aca="false">IF(AND(tbl_Tasks_Clean[[#This Row],[Status]]="Completed",tbl_Tasks_Clean[[#This Row],[Delay_Days]]&lt;=0),"On Time","Late")</f>
        <v>Late</v>
      </c>
      <c r="Z292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92" s="22" t="str">
        <f aca="false">INDEX(tbl_Projects[Project_Manager],MATCH(tbl_Tasks_Clean[[#This Row],[Project_ID]],tbl_Projects[Project_ID],0))</f>
        <v>Laila Samir</v>
      </c>
      <c r="AB292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93" customFormat="false" ht="14.25" hidden="false" customHeight="false" outlineLevel="0" collapsed="false">
      <c r="A293" s="22" t="s">
        <v>1302</v>
      </c>
      <c r="B293" s="22" t="s">
        <v>98</v>
      </c>
      <c r="C293" s="22" t="s">
        <v>99</v>
      </c>
      <c r="D293" s="22" t="s">
        <v>447</v>
      </c>
      <c r="E293" s="22" t="s">
        <v>21</v>
      </c>
      <c r="F293" s="22" t="s">
        <v>29</v>
      </c>
      <c r="G293" s="22" t="s">
        <v>206</v>
      </c>
      <c r="H293" s="22" t="s">
        <v>212</v>
      </c>
      <c r="I293" s="23" t="n">
        <v>45489</v>
      </c>
      <c r="J293" s="23" t="n">
        <v>45493</v>
      </c>
      <c r="K293" s="23"/>
      <c r="L293" s="0" t="n">
        <v>6000</v>
      </c>
      <c r="M293" s="0" t="n">
        <v>1517</v>
      </c>
      <c r="N293" s="0" t="n">
        <v>4</v>
      </c>
      <c r="O293" s="0" t="n">
        <v>0</v>
      </c>
      <c r="P293" s="22" t="s">
        <v>100</v>
      </c>
      <c r="Q293" s="22" t="s">
        <v>101</v>
      </c>
      <c r="R293" s="23" t="n">
        <v>45349</v>
      </c>
      <c r="S293" s="0" t="n">
        <v>100000</v>
      </c>
      <c r="T293" s="22" t="s">
        <v>28</v>
      </c>
      <c r="U293" s="22" t="s">
        <v>22</v>
      </c>
      <c r="V293" s="0" t="n">
        <v>200</v>
      </c>
      <c r="W293" s="0" t="n">
        <f aca="false">tbl_Tasks_Clean[[#This Row],[Actual_Cost]]-tbl_Tasks_Clean[[#This Row],[Planned_Cost]]</f>
        <v>-4483</v>
      </c>
      <c r="X293" s="22" t="n">
        <f aca="false">IFERROR(tbl_Tasks_Clean[[#This Row],[Actual_Cost]]/tbl_Tasks_Clean[[#This Row],[Planned_Cost]],0)</f>
        <v>0.252833333333333</v>
      </c>
      <c r="Y293" s="22" t="str">
        <f aca="false">IF(AND(tbl_Tasks_Clean[[#This Row],[Status]]="Completed",tbl_Tasks_Clean[[#This Row],[Delay_Days]]&lt;=0),"On Time","Late")</f>
        <v>Late</v>
      </c>
      <c r="Z293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293" s="22" t="str">
        <f aca="false">INDEX(tbl_Projects[Project_Manager],MATCH(tbl_Tasks_Clean[[#This Row],[Project_ID]],tbl_Projects[Project_ID],0))</f>
        <v>Ahmed Nabil</v>
      </c>
      <c r="AB293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94" customFormat="false" ht="14.25" hidden="false" customHeight="false" outlineLevel="0" collapsed="false">
      <c r="A294" s="22" t="s">
        <v>1304</v>
      </c>
      <c r="B294" s="22" t="s">
        <v>129</v>
      </c>
      <c r="C294" s="22" t="s">
        <v>130</v>
      </c>
      <c r="D294" s="22" t="s">
        <v>193</v>
      </c>
      <c r="E294" s="22" t="s">
        <v>63</v>
      </c>
      <c r="F294" s="22" t="s">
        <v>15</v>
      </c>
      <c r="G294" s="22" t="s">
        <v>275</v>
      </c>
      <c r="H294" s="22" t="s">
        <v>212</v>
      </c>
      <c r="I294" s="23" t="n">
        <v>45460</v>
      </c>
      <c r="J294" s="23" t="n">
        <v>45471</v>
      </c>
      <c r="K294" s="23"/>
      <c r="L294" s="0" t="n">
        <v>1500</v>
      </c>
      <c r="M294" s="0" t="n">
        <v>814</v>
      </c>
      <c r="N294" s="0" t="n">
        <v>11</v>
      </c>
      <c r="O294" s="0" t="n">
        <v>0</v>
      </c>
      <c r="P294" s="22" t="s">
        <v>118</v>
      </c>
      <c r="Q294" s="22" t="s">
        <v>131</v>
      </c>
      <c r="R294" s="23" t="n">
        <v>45379</v>
      </c>
      <c r="S294" s="0" t="n">
        <v>150000</v>
      </c>
      <c r="T294" s="22" t="s">
        <v>14</v>
      </c>
      <c r="U294" s="22" t="s">
        <v>16</v>
      </c>
      <c r="V294" s="0" t="n">
        <v>180</v>
      </c>
      <c r="W294" s="0" t="n">
        <f aca="false">tbl_Tasks_Clean[[#This Row],[Actual_Cost]]-tbl_Tasks_Clean[[#This Row],[Planned_Cost]]</f>
        <v>-686</v>
      </c>
      <c r="X294" s="22" t="n">
        <f aca="false">IFERROR(tbl_Tasks_Clean[[#This Row],[Actual_Cost]]/tbl_Tasks_Clean[[#This Row],[Planned_Cost]],0)</f>
        <v>0.542666666666667</v>
      </c>
      <c r="Y294" s="22" t="str">
        <f aca="false">IF(AND(tbl_Tasks_Clean[[#This Row],[Status]]="Completed",tbl_Tasks_Clean[[#This Row],[Delay_Days]]&lt;=0),"On Time","Late")</f>
        <v>Late</v>
      </c>
      <c r="Z294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94" s="22" t="str">
        <f aca="false">INDEX(tbl_Projects[Project_Manager],MATCH(tbl_Tasks_Clean[[#This Row],[Project_ID]],tbl_Projects[Project_ID],0))</f>
        <v>Sara Hassan</v>
      </c>
      <c r="AB294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95" customFormat="false" ht="14.25" hidden="false" customHeight="false" outlineLevel="0" collapsed="false">
      <c r="A295" s="22" t="s">
        <v>1306</v>
      </c>
      <c r="B295" s="22" t="s">
        <v>103</v>
      </c>
      <c r="C295" s="22" t="s">
        <v>104</v>
      </c>
      <c r="D295" s="22" t="s">
        <v>211</v>
      </c>
      <c r="E295" s="22" t="s">
        <v>63</v>
      </c>
      <c r="F295" s="22" t="s">
        <v>37</v>
      </c>
      <c r="G295" s="22" t="s">
        <v>275</v>
      </c>
      <c r="H295" s="22" t="s">
        <v>212</v>
      </c>
      <c r="I295" s="23" t="n">
        <v>45600</v>
      </c>
      <c r="J295" s="23" t="n">
        <v>45619</v>
      </c>
      <c r="K295" s="23"/>
      <c r="L295" s="0" t="n">
        <v>2500</v>
      </c>
      <c r="M295" s="0" t="n">
        <v>1859</v>
      </c>
      <c r="N295" s="0" t="n">
        <v>19</v>
      </c>
      <c r="O295" s="0" t="n">
        <v>0</v>
      </c>
      <c r="P295" s="22" t="s">
        <v>105</v>
      </c>
      <c r="Q295" s="22" t="s">
        <v>106</v>
      </c>
      <c r="R295" s="23" t="n">
        <v>45465</v>
      </c>
      <c r="S295" s="0" t="n">
        <v>75000</v>
      </c>
      <c r="T295" s="22" t="s">
        <v>36</v>
      </c>
      <c r="U295" s="22" t="s">
        <v>38</v>
      </c>
      <c r="V295" s="0" t="n">
        <v>280</v>
      </c>
      <c r="W295" s="0" t="n">
        <f aca="false">tbl_Tasks_Clean[[#This Row],[Actual_Cost]]-tbl_Tasks_Clean[[#This Row],[Planned_Cost]]</f>
        <v>-641</v>
      </c>
      <c r="X295" s="22" t="n">
        <f aca="false">IFERROR(tbl_Tasks_Clean[[#This Row],[Actual_Cost]]/tbl_Tasks_Clean[[#This Row],[Planned_Cost]],0)</f>
        <v>0.7436</v>
      </c>
      <c r="Y295" s="22" t="str">
        <f aca="false">IF(AND(tbl_Tasks_Clean[[#This Row],[Status]]="Completed",tbl_Tasks_Clean[[#This Row],[Delay_Days]]&lt;=0),"On Time","Late")</f>
        <v>Late</v>
      </c>
      <c r="Z295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295" s="22" t="str">
        <f aca="false">INDEX(tbl_Projects[Project_Manager],MATCH(tbl_Tasks_Clean[[#This Row],[Project_ID]],tbl_Projects[Project_ID],0))</f>
        <v>Laila Samir</v>
      </c>
      <c r="AB295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96" customFormat="false" ht="14.25" hidden="false" customHeight="false" outlineLevel="0" collapsed="false">
      <c r="A296" s="22" t="s">
        <v>1309</v>
      </c>
      <c r="B296" s="22" t="s">
        <v>147</v>
      </c>
      <c r="C296" s="22" t="s">
        <v>148</v>
      </c>
      <c r="D296" s="22" t="s">
        <v>1035</v>
      </c>
      <c r="E296" s="22" t="s">
        <v>21</v>
      </c>
      <c r="F296" s="22" t="s">
        <v>50</v>
      </c>
      <c r="G296" s="22" t="s">
        <v>275</v>
      </c>
      <c r="H296" s="22" t="s">
        <v>194</v>
      </c>
      <c r="I296" s="23" t="n">
        <v>45489</v>
      </c>
      <c r="J296" s="23" t="n">
        <v>45495</v>
      </c>
      <c r="K296" s="23" t="n">
        <v>45495</v>
      </c>
      <c r="L296" s="0" t="n">
        <v>1500</v>
      </c>
      <c r="M296" s="0" t="n">
        <v>2034</v>
      </c>
      <c r="N296" s="0" t="n">
        <v>6</v>
      </c>
      <c r="O296" s="0" t="n">
        <v>0</v>
      </c>
      <c r="P296" s="22" t="s">
        <v>118</v>
      </c>
      <c r="Q296" s="22" t="s">
        <v>123</v>
      </c>
      <c r="R296" s="23" t="n">
        <v>45388</v>
      </c>
      <c r="S296" s="0" t="n">
        <v>75000</v>
      </c>
      <c r="T296" s="22" t="s">
        <v>49</v>
      </c>
      <c r="U296" s="22" t="s">
        <v>51</v>
      </c>
      <c r="V296" s="0" t="n">
        <v>300</v>
      </c>
      <c r="W296" s="0" t="n">
        <f aca="false">tbl_Tasks_Clean[[#This Row],[Actual_Cost]]-tbl_Tasks_Clean[[#This Row],[Planned_Cost]]</f>
        <v>534</v>
      </c>
      <c r="X296" s="22" t="n">
        <f aca="false">IFERROR(tbl_Tasks_Clean[[#This Row],[Actual_Cost]]/tbl_Tasks_Clean[[#This Row],[Planned_Cost]],0)</f>
        <v>1.356</v>
      </c>
      <c r="Y296" s="22" t="str">
        <f aca="false">IF(AND(tbl_Tasks_Clean[[#This Row],[Status]]="Completed",tbl_Tasks_Clean[[#This Row],[Delay_Days]]&lt;=0),"On Time","Late")</f>
        <v>Late</v>
      </c>
      <c r="Z296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296" s="22" t="str">
        <f aca="false">INDEX(tbl_Projects[Project_Manager],MATCH(tbl_Tasks_Clean[[#This Row],[Project_ID]],tbl_Projects[Project_ID],0))</f>
        <v>Nourhan Tarek</v>
      </c>
      <c r="AB296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297" customFormat="false" ht="14.25" hidden="false" customHeight="false" outlineLevel="0" collapsed="false">
      <c r="A297" s="22" t="s">
        <v>1312</v>
      </c>
      <c r="B297" s="22" t="s">
        <v>136</v>
      </c>
      <c r="C297" s="22" t="s">
        <v>137</v>
      </c>
      <c r="D297" s="22" t="s">
        <v>503</v>
      </c>
      <c r="E297" s="22" t="s">
        <v>76</v>
      </c>
      <c r="F297" s="22" t="s">
        <v>20</v>
      </c>
      <c r="G297" s="22" t="s">
        <v>206</v>
      </c>
      <c r="H297" s="22" t="s">
        <v>239</v>
      </c>
      <c r="I297" s="23" t="n">
        <v>45343</v>
      </c>
      <c r="J297" s="23" t="n">
        <v>45350</v>
      </c>
      <c r="K297" s="23" t="n">
        <v>45352</v>
      </c>
      <c r="L297" s="0" t="n">
        <v>1000</v>
      </c>
      <c r="M297" s="0" t="n">
        <v>1387</v>
      </c>
      <c r="N297" s="0" t="n">
        <v>7</v>
      </c>
      <c r="O297" s="0" t="n">
        <v>2</v>
      </c>
      <c r="P297" s="22" t="s">
        <v>138</v>
      </c>
      <c r="Q297" s="22" t="s">
        <v>101</v>
      </c>
      <c r="R297" s="23" t="n">
        <v>45315</v>
      </c>
      <c r="S297" s="0" t="n">
        <v>250000</v>
      </c>
      <c r="T297" s="22" t="s">
        <v>19</v>
      </c>
      <c r="U297" s="22" t="s">
        <v>22</v>
      </c>
      <c r="V297" s="0" t="n">
        <v>180</v>
      </c>
      <c r="W297" s="0" t="n">
        <f aca="false">tbl_Tasks_Clean[[#This Row],[Actual_Cost]]-tbl_Tasks_Clean[[#This Row],[Planned_Cost]]</f>
        <v>387</v>
      </c>
      <c r="X297" s="22" t="n">
        <f aca="false">IFERROR(tbl_Tasks_Clean[[#This Row],[Actual_Cost]]/tbl_Tasks_Clean[[#This Row],[Planned_Cost]],0)</f>
        <v>1.387</v>
      </c>
      <c r="Y297" s="22" t="str">
        <f aca="false">IF(AND(tbl_Tasks_Clean[[#This Row],[Status]]="Completed",tbl_Tasks_Clean[[#This Row],[Delay_Days]]&lt;=0),"On Time","Late")</f>
        <v>Late</v>
      </c>
      <c r="Z297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297" s="22" t="str">
        <f aca="false">INDEX(tbl_Projects[Project_Manager],MATCH(tbl_Tasks_Clean[[#This Row],[Project_ID]],tbl_Projects[Project_ID],0))</f>
        <v>Ahmed Nabil</v>
      </c>
      <c r="AB297" s="22" t="str">
        <f aca="false">IF(tbl_Tasks_Clean[[#This Row],[Delay_Days]]&gt;0,"Delayed by "&amp;TEXT(DATEDIF(tbl_Tasks_Clean[[#This Row],[Planned_End_Date]],tbl_Tasks_Clean[[#This Row],[Actual_End_Date]],"d"),"0")&amp;" days","No delay")</f>
        <v>Delayed by 2 days</v>
      </c>
    </row>
    <row r="298" customFormat="false" ht="14.25" hidden="false" customHeight="false" outlineLevel="0" collapsed="false">
      <c r="A298" s="22" t="s">
        <v>1314</v>
      </c>
      <c r="B298" s="22" t="s">
        <v>147</v>
      </c>
      <c r="C298" s="22" t="s">
        <v>148</v>
      </c>
      <c r="D298" s="22" t="s">
        <v>1315</v>
      </c>
      <c r="E298" s="22" t="s">
        <v>54</v>
      </c>
      <c r="F298" s="22" t="s">
        <v>71</v>
      </c>
      <c r="G298" s="22" t="s">
        <v>175</v>
      </c>
      <c r="H298" s="22" t="s">
        <v>239</v>
      </c>
      <c r="I298" s="23" t="n">
        <v>45505</v>
      </c>
      <c r="J298" s="23" t="n">
        <v>45511</v>
      </c>
      <c r="K298" s="23" t="n">
        <v>45513</v>
      </c>
      <c r="L298" s="0" t="n">
        <v>8000</v>
      </c>
      <c r="M298" s="0" t="n">
        <v>8176</v>
      </c>
      <c r="N298" s="0" t="n">
        <v>6</v>
      </c>
      <c r="O298" s="0" t="n">
        <v>2</v>
      </c>
      <c r="P298" s="22" t="s">
        <v>118</v>
      </c>
      <c r="Q298" s="22" t="s">
        <v>123</v>
      </c>
      <c r="R298" s="23" t="n">
        <v>45388</v>
      </c>
      <c r="S298" s="0" t="n">
        <v>75000</v>
      </c>
      <c r="T298" s="22" t="s">
        <v>70</v>
      </c>
      <c r="U298" s="22" t="s">
        <v>67</v>
      </c>
      <c r="V298" s="0" t="n">
        <v>180</v>
      </c>
      <c r="W298" s="0" t="n">
        <f aca="false">tbl_Tasks_Clean[[#This Row],[Actual_Cost]]-tbl_Tasks_Clean[[#This Row],[Planned_Cost]]</f>
        <v>176</v>
      </c>
      <c r="X298" s="22" t="n">
        <f aca="false">IFERROR(tbl_Tasks_Clean[[#This Row],[Actual_Cost]]/tbl_Tasks_Clean[[#This Row],[Planned_Cost]],0)</f>
        <v>1.022</v>
      </c>
      <c r="Y298" s="22" t="str">
        <f aca="false">IF(AND(tbl_Tasks_Clean[[#This Row],[Status]]="Completed",tbl_Tasks_Clean[[#This Row],[Delay_Days]]&lt;=0),"On Time","Late")</f>
        <v>Late</v>
      </c>
      <c r="Z298" s="22" t="str">
        <f aca="false">IF(tbl_Tasks_Clean[[#This Row],[Planned_Duration_Days]]&lt;=7,"Short (&lt;=7 days)",IF(tbl_Tasks_Clean[[#This Row],[Planned_Duration_Days]]&lt;=20,"Medium (8-20 days)","Long (&gt;20 days)"))</f>
        <v>Short (&lt;=7 days)</v>
      </c>
      <c r="AA298" s="22" t="str">
        <f aca="false">INDEX(tbl_Projects[Project_Manager],MATCH(tbl_Tasks_Clean[[#This Row],[Project_ID]],tbl_Projects[Project_ID],0))</f>
        <v>Nourhan Tarek</v>
      </c>
      <c r="AB298" s="22" t="str">
        <f aca="false">IF(tbl_Tasks_Clean[[#This Row],[Delay_Days]]&gt;0,"Delayed by "&amp;TEXT(DATEDIF(tbl_Tasks_Clean[[#This Row],[Planned_End_Date]],tbl_Tasks_Clean[[#This Row],[Actual_End_Date]],"d"),"0")&amp;" days","No delay")</f>
        <v>Delayed by 2 days</v>
      </c>
    </row>
    <row r="299" customFormat="false" ht="14.25" hidden="false" customHeight="false" outlineLevel="0" collapsed="false">
      <c r="A299" s="22" t="s">
        <v>1318</v>
      </c>
      <c r="B299" s="22" t="s">
        <v>93</v>
      </c>
      <c r="C299" s="22" t="s">
        <v>94</v>
      </c>
      <c r="D299" s="22" t="s">
        <v>1319</v>
      </c>
      <c r="E299" s="22" t="s">
        <v>21</v>
      </c>
      <c r="F299" s="22" t="s">
        <v>71</v>
      </c>
      <c r="G299" s="22" t="s">
        <v>275</v>
      </c>
      <c r="H299" s="22" t="s">
        <v>239</v>
      </c>
      <c r="I299" s="23" t="n">
        <v>45508</v>
      </c>
      <c r="J299" s="23" t="n">
        <v>45535</v>
      </c>
      <c r="K299" s="23" t="n">
        <v>45535</v>
      </c>
      <c r="L299" s="0" t="n">
        <v>2500</v>
      </c>
      <c r="N299" s="0" t="n">
        <v>27</v>
      </c>
      <c r="O299" s="0" t="n">
        <v>0</v>
      </c>
      <c r="P299" s="22" t="s">
        <v>95</v>
      </c>
      <c r="Q299" s="22" t="s">
        <v>96</v>
      </c>
      <c r="R299" s="23" t="n">
        <v>45481</v>
      </c>
      <c r="S299" s="0" t="n">
        <v>150000</v>
      </c>
      <c r="T299" s="22" t="s">
        <v>70</v>
      </c>
      <c r="U299" s="22" t="s">
        <v>67</v>
      </c>
      <c r="V299" s="0" t="n">
        <v>180</v>
      </c>
      <c r="W299" s="0" t="n">
        <f aca="false">tbl_Tasks_Clean[[#This Row],[Actual_Cost]]-tbl_Tasks_Clean[[#This Row],[Planned_Cost]]</f>
        <v>-2500</v>
      </c>
      <c r="X299" s="22" t="n">
        <f aca="false">IFERROR(tbl_Tasks_Clean[[#This Row],[Actual_Cost]]/tbl_Tasks_Clean[[#This Row],[Planned_Cost]],0)</f>
        <v>0</v>
      </c>
      <c r="Y299" s="22" t="str">
        <f aca="false">IF(AND(tbl_Tasks_Clean[[#This Row],[Status]]="Completed",tbl_Tasks_Clean[[#This Row],[Delay_Days]]&lt;=0),"On Time","Late")</f>
        <v>On Time</v>
      </c>
      <c r="Z299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299" s="22" t="str">
        <f aca="false">INDEX(tbl_Projects[Project_Manager],MATCH(tbl_Tasks_Clean[[#This Row],[Project_ID]],tbl_Projects[Project_ID],0))</f>
        <v>Youssef Adel</v>
      </c>
      <c r="AB299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300" customFormat="false" ht="14.25" hidden="false" customHeight="false" outlineLevel="0" collapsed="false">
      <c r="A300" s="22" t="s">
        <v>1321</v>
      </c>
      <c r="B300" s="22" t="s">
        <v>88</v>
      </c>
      <c r="C300" s="22" t="s">
        <v>89</v>
      </c>
      <c r="D300" s="22" t="s">
        <v>1322</v>
      </c>
      <c r="E300" s="22" t="s">
        <v>76</v>
      </c>
      <c r="F300" s="22" t="s">
        <v>26</v>
      </c>
      <c r="G300" s="22" t="s">
        <v>175</v>
      </c>
      <c r="H300" s="22" t="s">
        <v>212</v>
      </c>
      <c r="I300" s="23" t="n">
        <v>45490</v>
      </c>
      <c r="J300" s="23" t="n">
        <v>45506</v>
      </c>
      <c r="K300" s="23"/>
      <c r="L300" s="0" t="n">
        <v>2000</v>
      </c>
      <c r="M300" s="0" t="n">
        <v>734</v>
      </c>
      <c r="N300" s="0" t="n">
        <v>16</v>
      </c>
      <c r="O300" s="0" t="n">
        <v>0</v>
      </c>
      <c r="P300" s="22" t="s">
        <v>90</v>
      </c>
      <c r="Q300" s="22" t="s">
        <v>91</v>
      </c>
      <c r="R300" s="23" t="n">
        <v>45455</v>
      </c>
      <c r="S300" s="0" t="n">
        <v>75000</v>
      </c>
      <c r="T300" s="22" t="s">
        <v>25</v>
      </c>
      <c r="U300" s="22" t="s">
        <v>27</v>
      </c>
      <c r="V300" s="0" t="n">
        <v>200</v>
      </c>
      <c r="W300" s="0" t="n">
        <f aca="false">tbl_Tasks_Clean[[#This Row],[Actual_Cost]]-tbl_Tasks_Clean[[#This Row],[Planned_Cost]]</f>
        <v>-1266</v>
      </c>
      <c r="X300" s="22" t="n">
        <f aca="false">IFERROR(tbl_Tasks_Clean[[#This Row],[Actual_Cost]]/tbl_Tasks_Clean[[#This Row],[Planned_Cost]],0)</f>
        <v>0.367</v>
      </c>
      <c r="Y300" s="22" t="str">
        <f aca="false">IF(AND(tbl_Tasks_Clean[[#This Row],[Status]]="Completed",tbl_Tasks_Clean[[#This Row],[Delay_Days]]&lt;=0),"On Time","Late")</f>
        <v>Late</v>
      </c>
      <c r="Z300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300" s="22" t="str">
        <f aca="false">INDEX(tbl_Projects[Project_Manager],MATCH(tbl_Tasks_Clean[[#This Row],[Project_ID]],tbl_Projects[Project_ID],0))</f>
        <v>Mona Farid</v>
      </c>
      <c r="AB300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301" customFormat="false" ht="14.25" hidden="false" customHeight="false" outlineLevel="0" collapsed="false">
      <c r="A301" s="22" t="s">
        <v>1325</v>
      </c>
      <c r="B301" s="22" t="s">
        <v>112</v>
      </c>
      <c r="C301" s="22" t="s">
        <v>113</v>
      </c>
      <c r="D301" s="22" t="s">
        <v>948</v>
      </c>
      <c r="E301" s="22" t="s">
        <v>7</v>
      </c>
      <c r="F301" s="22" t="s">
        <v>75</v>
      </c>
      <c r="G301" s="22" t="s">
        <v>275</v>
      </c>
      <c r="H301" s="22" t="s">
        <v>201</v>
      </c>
      <c r="I301" s="23" t="n">
        <v>45468</v>
      </c>
      <c r="J301" s="23" t="n">
        <v>45486</v>
      </c>
      <c r="K301" s="23"/>
      <c r="L301" s="0" t="n">
        <v>2500</v>
      </c>
      <c r="M301" s="0" t="n">
        <v>0</v>
      </c>
      <c r="N301" s="0" t="n">
        <v>18</v>
      </c>
      <c r="O301" s="0" t="n">
        <v>0</v>
      </c>
      <c r="P301" s="22" t="s">
        <v>114</v>
      </c>
      <c r="Q301" s="22" t="s">
        <v>91</v>
      </c>
      <c r="R301" s="23" t="n">
        <v>45347</v>
      </c>
      <c r="S301" s="0" t="n">
        <v>120000</v>
      </c>
      <c r="T301" s="22" t="s">
        <v>74</v>
      </c>
      <c r="U301" s="22" t="s">
        <v>77</v>
      </c>
      <c r="V301" s="0" t="n">
        <v>250</v>
      </c>
      <c r="W301" s="0" t="n">
        <f aca="false">tbl_Tasks_Clean[[#This Row],[Actual_Cost]]-tbl_Tasks_Clean[[#This Row],[Planned_Cost]]</f>
        <v>-2500</v>
      </c>
      <c r="X301" s="22" t="n">
        <f aca="false">IFERROR(tbl_Tasks_Clean[[#This Row],[Actual_Cost]]/tbl_Tasks_Clean[[#This Row],[Planned_Cost]],0)</f>
        <v>0</v>
      </c>
      <c r="Y301" s="22" t="str">
        <f aca="false">IF(AND(tbl_Tasks_Clean[[#This Row],[Status]]="Completed",tbl_Tasks_Clean[[#This Row],[Delay_Days]]&lt;=0),"On Time","Late")</f>
        <v>Late</v>
      </c>
      <c r="Z301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301" s="22" t="str">
        <f aca="false">INDEX(tbl_Projects[Project_Manager],MATCH(tbl_Tasks_Clean[[#This Row],[Project_ID]],tbl_Projects[Project_ID],0))</f>
        <v>Mona Farid</v>
      </c>
      <c r="AB301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302" customFormat="false" ht="14.25" hidden="false" customHeight="false" outlineLevel="0" collapsed="false">
      <c r="A302" s="22" t="s">
        <v>1326</v>
      </c>
      <c r="B302" s="22" t="s">
        <v>129</v>
      </c>
      <c r="C302" s="22" t="s">
        <v>130</v>
      </c>
      <c r="D302" s="22" t="s">
        <v>1327</v>
      </c>
      <c r="E302" s="22" t="s">
        <v>76</v>
      </c>
      <c r="F302" s="22" t="s">
        <v>33</v>
      </c>
      <c r="G302" s="22" t="s">
        <v>206</v>
      </c>
      <c r="H302" s="22" t="s">
        <v>239</v>
      </c>
      <c r="I302" s="23" t="n">
        <v>45507</v>
      </c>
      <c r="J302" s="23" t="n">
        <v>45520</v>
      </c>
      <c r="K302" s="23" t="n">
        <v>45520</v>
      </c>
      <c r="L302" s="0" t="n">
        <v>3000</v>
      </c>
      <c r="M302" s="0" t="n">
        <v>2478</v>
      </c>
      <c r="N302" s="0" t="n">
        <v>13</v>
      </c>
      <c r="O302" s="0" t="n">
        <v>0</v>
      </c>
      <c r="P302" s="22" t="s">
        <v>118</v>
      </c>
      <c r="Q302" s="22" t="s">
        <v>131</v>
      </c>
      <c r="R302" s="23" t="n">
        <v>45379</v>
      </c>
      <c r="S302" s="0" t="n">
        <v>150000</v>
      </c>
      <c r="T302" s="22" t="s">
        <v>32</v>
      </c>
      <c r="U302" s="22" t="s">
        <v>35</v>
      </c>
      <c r="V302" s="0" t="n">
        <v>250</v>
      </c>
      <c r="W302" s="0" t="n">
        <f aca="false">tbl_Tasks_Clean[[#This Row],[Actual_Cost]]-tbl_Tasks_Clean[[#This Row],[Planned_Cost]]</f>
        <v>-522</v>
      </c>
      <c r="X302" s="22" t="n">
        <f aca="false">IFERROR(tbl_Tasks_Clean[[#This Row],[Actual_Cost]]/tbl_Tasks_Clean[[#This Row],[Planned_Cost]],0)</f>
        <v>0.826</v>
      </c>
      <c r="Y302" s="22" t="str">
        <f aca="false">IF(AND(tbl_Tasks_Clean[[#This Row],[Status]]="Completed",tbl_Tasks_Clean[[#This Row],[Delay_Days]]&lt;=0),"On Time","Late")</f>
        <v>On Time</v>
      </c>
      <c r="Z302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302" s="22" t="str">
        <f aca="false">INDEX(tbl_Projects[Project_Manager],MATCH(tbl_Tasks_Clean[[#This Row],[Project_ID]],tbl_Projects[Project_ID],0))</f>
        <v>Sara Hassan</v>
      </c>
      <c r="AB302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303" customFormat="false" ht="14.25" hidden="false" customHeight="false" outlineLevel="0" collapsed="false">
      <c r="A303" s="22" t="s">
        <v>1329</v>
      </c>
      <c r="B303" s="22" t="s">
        <v>98</v>
      </c>
      <c r="C303" s="22" t="s">
        <v>99</v>
      </c>
      <c r="D303" s="22" t="s">
        <v>370</v>
      </c>
      <c r="E303" s="22" t="s">
        <v>7</v>
      </c>
      <c r="F303" s="22" t="s">
        <v>31</v>
      </c>
      <c r="G303" s="22" t="s">
        <v>206</v>
      </c>
      <c r="H303" s="22" t="s">
        <v>194</v>
      </c>
      <c r="I303" s="23" t="n">
        <v>45405</v>
      </c>
      <c r="J303" s="23" t="n">
        <v>45428</v>
      </c>
      <c r="K303" s="23" t="n">
        <v>45427</v>
      </c>
      <c r="L303" s="0" t="n">
        <v>6000</v>
      </c>
      <c r="M303" s="0" t="n">
        <v>8019</v>
      </c>
      <c r="N303" s="0" t="n">
        <v>23</v>
      </c>
      <c r="O303" s="0" t="n">
        <v>-1</v>
      </c>
      <c r="P303" s="22" t="s">
        <v>100</v>
      </c>
      <c r="Q303" s="22" t="s">
        <v>101</v>
      </c>
      <c r="R303" s="23" t="n">
        <v>45349</v>
      </c>
      <c r="S303" s="0" t="n">
        <v>100000</v>
      </c>
      <c r="T303" s="22" t="s">
        <v>30</v>
      </c>
      <c r="U303" s="22" t="s">
        <v>27</v>
      </c>
      <c r="V303" s="0" t="n">
        <v>220</v>
      </c>
      <c r="W303" s="0" t="n">
        <f aca="false">tbl_Tasks_Clean[[#This Row],[Actual_Cost]]-tbl_Tasks_Clean[[#This Row],[Planned_Cost]]</f>
        <v>2019</v>
      </c>
      <c r="X303" s="22" t="n">
        <f aca="false">IFERROR(tbl_Tasks_Clean[[#This Row],[Actual_Cost]]/tbl_Tasks_Clean[[#This Row],[Planned_Cost]],0)</f>
        <v>1.3365</v>
      </c>
      <c r="Y303" s="22" t="str">
        <f aca="false">IF(AND(tbl_Tasks_Clean[[#This Row],[Status]]="Completed",tbl_Tasks_Clean[[#This Row],[Delay_Days]]&lt;=0),"On Time","Late")</f>
        <v>Late</v>
      </c>
      <c r="Z303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303" s="22" t="str">
        <f aca="false">INDEX(tbl_Projects[Project_Manager],MATCH(tbl_Tasks_Clean[[#This Row],[Project_ID]],tbl_Projects[Project_ID],0))</f>
        <v>Ahmed Nabil</v>
      </c>
      <c r="AB303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304" customFormat="false" ht="14.25" hidden="false" customHeight="false" outlineLevel="0" collapsed="false">
      <c r="A304" s="22" t="s">
        <v>1333</v>
      </c>
      <c r="B304" s="22" t="s">
        <v>147</v>
      </c>
      <c r="C304" s="22" t="s">
        <v>148</v>
      </c>
      <c r="D304" s="22" t="s">
        <v>611</v>
      </c>
      <c r="E304" s="22" t="s">
        <v>76</v>
      </c>
      <c r="F304" s="22" t="s">
        <v>73</v>
      </c>
      <c r="G304" s="22" t="s">
        <v>175</v>
      </c>
      <c r="H304" s="22" t="s">
        <v>212</v>
      </c>
      <c r="I304" s="23" t="n">
        <v>45535</v>
      </c>
      <c r="J304" s="23" t="n">
        <v>45559</v>
      </c>
      <c r="K304" s="23"/>
      <c r="L304" s="0" t="n">
        <v>2500</v>
      </c>
      <c r="M304" s="0" t="n">
        <v>1721</v>
      </c>
      <c r="N304" s="0" t="n">
        <v>24</v>
      </c>
      <c r="O304" s="0" t="n">
        <v>0</v>
      </c>
      <c r="P304" s="22" t="s">
        <v>118</v>
      </c>
      <c r="Q304" s="22" t="s">
        <v>123</v>
      </c>
      <c r="R304" s="23" t="n">
        <v>45388</v>
      </c>
      <c r="S304" s="0" t="n">
        <v>75000</v>
      </c>
      <c r="T304" s="22" t="s">
        <v>72</v>
      </c>
      <c r="U304" s="22" t="s">
        <v>67</v>
      </c>
      <c r="V304" s="0" t="n">
        <v>200</v>
      </c>
      <c r="W304" s="0" t="n">
        <f aca="false">tbl_Tasks_Clean[[#This Row],[Actual_Cost]]-tbl_Tasks_Clean[[#This Row],[Planned_Cost]]</f>
        <v>-779</v>
      </c>
      <c r="X304" s="22" t="n">
        <f aca="false">IFERROR(tbl_Tasks_Clean[[#This Row],[Actual_Cost]]/tbl_Tasks_Clean[[#This Row],[Planned_Cost]],0)</f>
        <v>0.6884</v>
      </c>
      <c r="Y304" s="22" t="str">
        <f aca="false">IF(AND(tbl_Tasks_Clean[[#This Row],[Status]]="Completed",tbl_Tasks_Clean[[#This Row],[Delay_Days]]&lt;=0),"On Time","Late")</f>
        <v>Late</v>
      </c>
      <c r="Z304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304" s="22" t="str">
        <f aca="false">INDEX(tbl_Projects[Project_Manager],MATCH(tbl_Tasks_Clean[[#This Row],[Project_ID]],tbl_Projects[Project_ID],0))</f>
        <v>Nourhan Tarek</v>
      </c>
      <c r="AB304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305" customFormat="false" ht="14.25" hidden="false" customHeight="false" outlineLevel="0" collapsed="false">
      <c r="A305" s="22" t="s">
        <v>1336</v>
      </c>
      <c r="B305" s="22" t="s">
        <v>116</v>
      </c>
      <c r="C305" s="22" t="s">
        <v>117</v>
      </c>
      <c r="D305" s="22" t="s">
        <v>948</v>
      </c>
      <c r="E305" s="22" t="s">
        <v>34</v>
      </c>
      <c r="F305" s="22" t="s">
        <v>40</v>
      </c>
      <c r="G305" s="22" t="s">
        <v>175</v>
      </c>
      <c r="H305" s="22" t="s">
        <v>212</v>
      </c>
      <c r="I305" s="23" t="n">
        <v>45557</v>
      </c>
      <c r="J305" s="23" t="n">
        <v>45567</v>
      </c>
      <c r="K305" s="23"/>
      <c r="L305" s="0" t="n">
        <v>10000</v>
      </c>
      <c r="M305" s="0" t="n">
        <v>6223</v>
      </c>
      <c r="N305" s="0" t="n">
        <v>10</v>
      </c>
      <c r="O305" s="0" t="n">
        <v>0</v>
      </c>
      <c r="P305" s="22" t="s">
        <v>118</v>
      </c>
      <c r="Q305" s="22" t="s">
        <v>106</v>
      </c>
      <c r="R305" s="23" t="n">
        <v>45435</v>
      </c>
      <c r="S305" s="0" t="n">
        <v>120000</v>
      </c>
      <c r="T305" s="22" t="s">
        <v>39</v>
      </c>
      <c r="U305" s="22" t="s">
        <v>41</v>
      </c>
      <c r="V305" s="0" t="n">
        <v>220</v>
      </c>
      <c r="W305" s="0" t="n">
        <f aca="false">tbl_Tasks_Clean[[#This Row],[Actual_Cost]]-tbl_Tasks_Clean[[#This Row],[Planned_Cost]]</f>
        <v>-3777</v>
      </c>
      <c r="X305" s="22" t="n">
        <f aca="false">IFERROR(tbl_Tasks_Clean[[#This Row],[Actual_Cost]]/tbl_Tasks_Clean[[#This Row],[Planned_Cost]],0)</f>
        <v>0.6223</v>
      </c>
      <c r="Y305" s="22" t="str">
        <f aca="false">IF(AND(tbl_Tasks_Clean[[#This Row],[Status]]="Completed",tbl_Tasks_Clean[[#This Row],[Delay_Days]]&lt;=0),"On Time","Late")</f>
        <v>Late</v>
      </c>
      <c r="Z305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305" s="22" t="str">
        <f aca="false">INDEX(tbl_Projects[Project_Manager],MATCH(tbl_Tasks_Clean[[#This Row],[Project_ID]],tbl_Projects[Project_ID],0))</f>
        <v>Laila Samir</v>
      </c>
      <c r="AB305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306" customFormat="false" ht="14.25" hidden="false" customHeight="false" outlineLevel="0" collapsed="false">
      <c r="A306" s="22" t="s">
        <v>1339</v>
      </c>
      <c r="B306" s="22" t="s">
        <v>103</v>
      </c>
      <c r="C306" s="22" t="s">
        <v>104</v>
      </c>
      <c r="D306" s="22" t="s">
        <v>1340</v>
      </c>
      <c r="E306" s="22" t="s">
        <v>54</v>
      </c>
      <c r="F306" s="22" t="s">
        <v>71</v>
      </c>
      <c r="G306" s="22" t="s">
        <v>175</v>
      </c>
      <c r="H306" s="22" t="s">
        <v>212</v>
      </c>
      <c r="I306" s="23" t="n">
        <v>45554</v>
      </c>
      <c r="J306" s="23" t="n">
        <v>45566</v>
      </c>
      <c r="K306" s="23"/>
      <c r="L306" s="0" t="n">
        <v>5000</v>
      </c>
      <c r="M306" s="0" t="n">
        <v>1387</v>
      </c>
      <c r="N306" s="0" t="n">
        <v>12</v>
      </c>
      <c r="O306" s="0" t="n">
        <v>0</v>
      </c>
      <c r="P306" s="22" t="s">
        <v>105</v>
      </c>
      <c r="Q306" s="22" t="s">
        <v>106</v>
      </c>
      <c r="R306" s="23" t="n">
        <v>45465</v>
      </c>
      <c r="S306" s="0" t="n">
        <v>75000</v>
      </c>
      <c r="T306" s="22" t="s">
        <v>70</v>
      </c>
      <c r="U306" s="22" t="s">
        <v>67</v>
      </c>
      <c r="V306" s="0" t="n">
        <v>180</v>
      </c>
      <c r="W306" s="0" t="n">
        <f aca="false">tbl_Tasks_Clean[[#This Row],[Actual_Cost]]-tbl_Tasks_Clean[[#This Row],[Planned_Cost]]</f>
        <v>-3613</v>
      </c>
      <c r="X306" s="22" t="n">
        <f aca="false">IFERROR(tbl_Tasks_Clean[[#This Row],[Actual_Cost]]/tbl_Tasks_Clean[[#This Row],[Planned_Cost]],0)</f>
        <v>0.2774</v>
      </c>
      <c r="Y306" s="22" t="str">
        <f aca="false">IF(AND(tbl_Tasks_Clean[[#This Row],[Status]]="Completed",tbl_Tasks_Clean[[#This Row],[Delay_Days]]&lt;=0),"On Time","Late")</f>
        <v>Late</v>
      </c>
      <c r="Z306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306" s="22" t="str">
        <f aca="false">INDEX(tbl_Projects[Project_Manager],MATCH(tbl_Tasks_Clean[[#This Row],[Project_ID]],tbl_Projects[Project_ID],0))</f>
        <v>Laila Samir</v>
      </c>
      <c r="AB306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307" customFormat="false" ht="14.25" hidden="false" customHeight="false" outlineLevel="0" collapsed="false">
      <c r="A307" s="22" t="s">
        <v>1343</v>
      </c>
      <c r="B307" s="22" t="s">
        <v>88</v>
      </c>
      <c r="C307" s="22" t="s">
        <v>89</v>
      </c>
      <c r="D307" s="22" t="s">
        <v>1344</v>
      </c>
      <c r="E307" s="22" t="s">
        <v>54</v>
      </c>
      <c r="F307" s="22" t="s">
        <v>69</v>
      </c>
      <c r="G307" s="22" t="s">
        <v>275</v>
      </c>
      <c r="H307" s="22" t="s">
        <v>201</v>
      </c>
      <c r="I307" s="23" t="n">
        <v>45472</v>
      </c>
      <c r="J307" s="23" t="n">
        <v>45494</v>
      </c>
      <c r="K307" s="23"/>
      <c r="L307" s="0" t="n">
        <v>1500</v>
      </c>
      <c r="M307" s="0" t="n">
        <v>0</v>
      </c>
      <c r="N307" s="0" t="n">
        <v>22</v>
      </c>
      <c r="O307" s="0" t="n">
        <v>0</v>
      </c>
      <c r="P307" s="22" t="s">
        <v>90</v>
      </c>
      <c r="Q307" s="22" t="s">
        <v>91</v>
      </c>
      <c r="R307" s="23" t="n">
        <v>45455</v>
      </c>
      <c r="S307" s="0" t="n">
        <v>75000</v>
      </c>
      <c r="T307" s="22" t="s">
        <v>68</v>
      </c>
      <c r="U307" s="22" t="s">
        <v>67</v>
      </c>
      <c r="V307" s="0" t="n">
        <v>180</v>
      </c>
      <c r="W307" s="0" t="n">
        <f aca="false">tbl_Tasks_Clean[[#This Row],[Actual_Cost]]-tbl_Tasks_Clean[[#This Row],[Planned_Cost]]</f>
        <v>-1500</v>
      </c>
      <c r="X307" s="22" t="n">
        <f aca="false">IFERROR(tbl_Tasks_Clean[[#This Row],[Actual_Cost]]/tbl_Tasks_Clean[[#This Row],[Planned_Cost]],0)</f>
        <v>0</v>
      </c>
      <c r="Y307" s="22" t="str">
        <f aca="false">IF(AND(tbl_Tasks_Clean[[#This Row],[Status]]="Completed",tbl_Tasks_Clean[[#This Row],[Delay_Days]]&lt;=0),"On Time","Late")</f>
        <v>Late</v>
      </c>
      <c r="Z307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307" s="22" t="str">
        <f aca="false">INDEX(tbl_Projects[Project_Manager],MATCH(tbl_Tasks_Clean[[#This Row],[Project_ID]],tbl_Projects[Project_ID],0))</f>
        <v>Mona Farid</v>
      </c>
      <c r="AB307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308" customFormat="false" ht="14.25" hidden="false" customHeight="false" outlineLevel="0" collapsed="false">
      <c r="A308" s="22" t="s">
        <v>1347</v>
      </c>
      <c r="B308" s="22" t="s">
        <v>120</v>
      </c>
      <c r="C308" s="22" t="s">
        <v>121</v>
      </c>
      <c r="D308" s="22" t="s">
        <v>199</v>
      </c>
      <c r="E308" s="22" t="s">
        <v>34</v>
      </c>
      <c r="F308" s="22" t="s">
        <v>47</v>
      </c>
      <c r="G308" s="22" t="s">
        <v>175</v>
      </c>
      <c r="H308" s="22" t="s">
        <v>239</v>
      </c>
      <c r="I308" s="23" t="n">
        <v>45448</v>
      </c>
      <c r="J308" s="23" t="n">
        <v>45469</v>
      </c>
      <c r="K308" s="23" t="n">
        <v>45466</v>
      </c>
      <c r="L308" s="0" t="n">
        <v>4000</v>
      </c>
      <c r="M308" s="0" t="n">
        <v>3786</v>
      </c>
      <c r="N308" s="0" t="n">
        <v>21</v>
      </c>
      <c r="O308" s="0" t="n">
        <v>-3</v>
      </c>
      <c r="P308" s="22" t="s">
        <v>122</v>
      </c>
      <c r="Q308" s="22" t="s">
        <v>123</v>
      </c>
      <c r="R308" s="23" t="n">
        <v>45348</v>
      </c>
      <c r="S308" s="0" t="n">
        <v>300000</v>
      </c>
      <c r="T308" s="22" t="s">
        <v>46</v>
      </c>
      <c r="U308" s="22" t="s">
        <v>48</v>
      </c>
      <c r="V308" s="0" t="n">
        <v>280</v>
      </c>
      <c r="W308" s="0" t="n">
        <f aca="false">tbl_Tasks_Clean[[#This Row],[Actual_Cost]]-tbl_Tasks_Clean[[#This Row],[Planned_Cost]]</f>
        <v>-214</v>
      </c>
      <c r="X308" s="22" t="n">
        <f aca="false">IFERROR(tbl_Tasks_Clean[[#This Row],[Actual_Cost]]/tbl_Tasks_Clean[[#This Row],[Planned_Cost]],0)</f>
        <v>0.9465</v>
      </c>
      <c r="Y308" s="22" t="str">
        <f aca="false">IF(AND(tbl_Tasks_Clean[[#This Row],[Status]]="Completed",tbl_Tasks_Clean[[#This Row],[Delay_Days]]&lt;=0),"On Time","Late")</f>
        <v>On Time</v>
      </c>
      <c r="Z308" s="22" t="str">
        <f aca="false">IF(tbl_Tasks_Clean[[#This Row],[Planned_Duration_Days]]&lt;=7,"Short (&lt;=7 days)",IF(tbl_Tasks_Clean[[#This Row],[Planned_Duration_Days]]&lt;=20,"Medium (8-20 days)","Long (&gt;20 days)"))</f>
        <v>Long (&gt;20 days)</v>
      </c>
      <c r="AA308" s="22" t="str">
        <f aca="false">INDEX(tbl_Projects[Project_Manager],MATCH(tbl_Tasks_Clean[[#This Row],[Project_ID]],tbl_Projects[Project_ID],0))</f>
        <v>Nourhan Tarek</v>
      </c>
      <c r="AB308" s="22" t="str">
        <f aca="false">IF(tbl_Tasks_Clean[[#This Row],[Delay_Days]]&gt;0,"Delayed by "&amp;TEXT(DATEDIF(tbl_Tasks_Clean[[#This Row],[Planned_End_Date]],tbl_Tasks_Clean[[#This Row],[Actual_End_Date]],"d"),"0")&amp;" days","No delay")</f>
        <v>No delay</v>
      </c>
    </row>
    <row r="309" customFormat="false" ht="14.25" hidden="false" customHeight="false" outlineLevel="0" collapsed="false">
      <c r="A309" s="22" t="s">
        <v>1349</v>
      </c>
      <c r="B309" s="22" t="s">
        <v>133</v>
      </c>
      <c r="C309" s="22" t="s">
        <v>134</v>
      </c>
      <c r="D309" s="22" t="s">
        <v>1350</v>
      </c>
      <c r="E309" s="22" t="s">
        <v>44</v>
      </c>
      <c r="F309" s="22" t="s">
        <v>75</v>
      </c>
      <c r="G309" s="22" t="s">
        <v>275</v>
      </c>
      <c r="H309" s="22" t="s">
        <v>239</v>
      </c>
      <c r="I309" s="23" t="n">
        <v>45363</v>
      </c>
      <c r="J309" s="23" t="n">
        <v>45375</v>
      </c>
      <c r="K309" s="23" t="n">
        <v>45377</v>
      </c>
      <c r="L309" s="0" t="n">
        <v>8000</v>
      </c>
      <c r="M309" s="0" t="n">
        <v>7859</v>
      </c>
      <c r="N309" s="0" t="n">
        <v>12</v>
      </c>
      <c r="O309" s="0" t="n">
        <v>2</v>
      </c>
      <c r="P309" s="22" t="s">
        <v>135</v>
      </c>
      <c r="Q309" s="22" t="s">
        <v>101</v>
      </c>
      <c r="R309" s="23" t="n">
        <v>45347</v>
      </c>
      <c r="S309" s="0" t="n">
        <v>200000</v>
      </c>
      <c r="T309" s="22" t="s">
        <v>74</v>
      </c>
      <c r="U309" s="22" t="s">
        <v>77</v>
      </c>
      <c r="V309" s="0" t="n">
        <v>250</v>
      </c>
      <c r="W309" s="0" t="n">
        <f aca="false">tbl_Tasks_Clean[[#This Row],[Actual_Cost]]-tbl_Tasks_Clean[[#This Row],[Planned_Cost]]</f>
        <v>-141</v>
      </c>
      <c r="X309" s="22" t="n">
        <f aca="false">IFERROR(tbl_Tasks_Clean[[#This Row],[Actual_Cost]]/tbl_Tasks_Clean[[#This Row],[Planned_Cost]],0)</f>
        <v>0.982375</v>
      </c>
      <c r="Y309" s="22" t="str">
        <f aca="false">IF(AND(tbl_Tasks_Clean[[#This Row],[Status]]="Completed",tbl_Tasks_Clean[[#This Row],[Delay_Days]]&lt;=0),"On Time","Late")</f>
        <v>Late</v>
      </c>
      <c r="Z309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309" s="22" t="str">
        <f aca="false">INDEX(tbl_Projects[Project_Manager],MATCH(tbl_Tasks_Clean[[#This Row],[Project_ID]],tbl_Projects[Project_ID],0))</f>
        <v>Ahmed Nabil</v>
      </c>
      <c r="AB309" s="22" t="str">
        <f aca="false">IF(tbl_Tasks_Clean[[#This Row],[Delay_Days]]&gt;0,"Delayed by "&amp;TEXT(DATEDIF(tbl_Tasks_Clean[[#This Row],[Planned_End_Date]],tbl_Tasks_Clean[[#This Row],[Actual_End_Date]],"d"),"0")&amp;" days","No delay")</f>
        <v>Delayed by 2 days</v>
      </c>
    </row>
    <row r="310" customFormat="false" ht="14.25" hidden="false" customHeight="false" outlineLevel="0" collapsed="false">
      <c r="A310" s="22" t="s">
        <v>1352</v>
      </c>
      <c r="B310" s="22" t="s">
        <v>112</v>
      </c>
      <c r="C310" s="22" t="s">
        <v>113</v>
      </c>
      <c r="D310" s="22" t="s">
        <v>537</v>
      </c>
      <c r="E310" s="22" t="s">
        <v>63</v>
      </c>
      <c r="F310" s="22" t="s">
        <v>73</v>
      </c>
      <c r="G310" s="22" t="s">
        <v>275</v>
      </c>
      <c r="H310" s="22" t="s">
        <v>239</v>
      </c>
      <c r="I310" s="23" t="n">
        <v>45483</v>
      </c>
      <c r="J310" s="23" t="n">
        <v>45496</v>
      </c>
      <c r="K310" s="23" t="n">
        <v>45497</v>
      </c>
      <c r="L310" s="0" t="n">
        <v>4000</v>
      </c>
      <c r="M310" s="0" t="n">
        <v>4692</v>
      </c>
      <c r="N310" s="0" t="n">
        <v>13</v>
      </c>
      <c r="O310" s="0" t="n">
        <v>1</v>
      </c>
      <c r="P310" s="22" t="s">
        <v>114</v>
      </c>
      <c r="Q310" s="22" t="s">
        <v>91</v>
      </c>
      <c r="R310" s="23" t="n">
        <v>45347</v>
      </c>
      <c r="S310" s="0" t="n">
        <v>120000</v>
      </c>
      <c r="T310" s="22" t="s">
        <v>72</v>
      </c>
      <c r="U310" s="22" t="s">
        <v>67</v>
      </c>
      <c r="V310" s="0" t="n">
        <v>200</v>
      </c>
      <c r="W310" s="0" t="n">
        <f aca="false">tbl_Tasks_Clean[[#This Row],[Actual_Cost]]-tbl_Tasks_Clean[[#This Row],[Planned_Cost]]</f>
        <v>692</v>
      </c>
      <c r="X310" s="22" t="n">
        <f aca="false">IFERROR(tbl_Tasks_Clean[[#This Row],[Actual_Cost]]/tbl_Tasks_Clean[[#This Row],[Planned_Cost]],0)</f>
        <v>1.173</v>
      </c>
      <c r="Y310" s="22" t="str">
        <f aca="false">IF(AND(tbl_Tasks_Clean[[#This Row],[Status]]="Completed",tbl_Tasks_Clean[[#This Row],[Delay_Days]]&lt;=0),"On Time","Late")</f>
        <v>Late</v>
      </c>
      <c r="Z310" s="22" t="str">
        <f aca="false">IF(tbl_Tasks_Clean[[#This Row],[Planned_Duration_Days]]&lt;=7,"Short (&lt;=7 days)",IF(tbl_Tasks_Clean[[#This Row],[Planned_Duration_Days]]&lt;=20,"Medium (8-20 days)","Long (&gt;20 days)"))</f>
        <v>Medium (8-20 days)</v>
      </c>
      <c r="AA310" s="22" t="str">
        <f aca="false">INDEX(tbl_Projects[Project_Manager],MATCH(tbl_Tasks_Clean[[#This Row],[Project_ID]],tbl_Projects[Project_ID],0))</f>
        <v>Mona Farid</v>
      </c>
      <c r="AB310" s="22" t="str">
        <f aca="false">IF(tbl_Tasks_Clean[[#This Row],[Delay_Days]]&gt;0,"Delayed by "&amp;TEXT(DATEDIF(tbl_Tasks_Clean[[#This Row],[Planned_End_Date]],tbl_Tasks_Clean[[#This Row],[Actual_End_Date]],"d"),"0")&amp;" days","No delay")</f>
        <v>Delayed by 1 days</v>
      </c>
    </row>
    <row r="321" customFormat="false" ht="14.25" hidden="false" customHeight="false" outlineLevel="0" collapsed="false">
      <c r="P321" s="0" t="s">
        <v>1382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H129"/>
  <sheetViews>
    <sheetView showFormulas="false" showGridLines="false" showRowColHeaders="true" showZeros="true" rightToLeft="false" tabSelected="false" showOutlineSymbols="true" defaultGridColor="true" view="normal" topLeftCell="X109" colorId="64" zoomScale="96" zoomScaleNormal="96" zoomScalePageLayoutView="100" workbookViewId="0">
      <selection pane="topLeft" activeCell="AA111" activeCellId="0" sqref="AA111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2" min="2" style="0" width="13.11"/>
    <col collapsed="false" customWidth="true" hidden="false" outlineLevel="0" max="3" min="3" style="0" width="18.44"/>
    <col collapsed="false" customWidth="true" hidden="false" outlineLevel="0" max="4" min="4" style="0" width="8.11"/>
    <col collapsed="false" customWidth="true" hidden="false" outlineLevel="0" max="5" min="5" style="0" width="10.66"/>
    <col collapsed="false" customWidth="true" hidden="false" outlineLevel="0" max="6" min="6" style="0" width="11.11"/>
    <col collapsed="false" customWidth="true" hidden="false" outlineLevel="0" max="7" min="7" style="0" width="11.22"/>
    <col collapsed="false" customWidth="true" hidden="false" outlineLevel="0" max="8" min="8" style="0" width="17.77"/>
    <col collapsed="false" customWidth="true" hidden="false" outlineLevel="0" max="9" min="9" style="0" width="15.78"/>
    <col collapsed="false" customWidth="true" hidden="false" outlineLevel="0" max="10" min="10" style="0" width="24.88"/>
    <col collapsed="false" customWidth="true" hidden="false" outlineLevel="0" max="11" min="11" style="0" width="19.78"/>
    <col collapsed="false" customWidth="true" hidden="false" outlineLevel="0" max="12" min="12" style="0" width="15.44"/>
    <col collapsed="false" customWidth="true" hidden="false" outlineLevel="0" max="13" min="13" style="0" width="12.67"/>
    <col collapsed="false" customWidth="true" hidden="false" outlineLevel="0" max="14" min="14" style="0" width="17.44"/>
    <col collapsed="false" customWidth="true" hidden="false" outlineLevel="0" max="15" min="15" style="0" width="15.44"/>
    <col collapsed="false" customWidth="true" hidden="false" outlineLevel="0" max="16" min="16" style="0" width="12.67"/>
    <col collapsed="false" customWidth="true" hidden="false" outlineLevel="0" max="17" min="17" style="0" width="17.44"/>
    <col collapsed="false" customWidth="true" hidden="false" outlineLevel="0" max="18" min="18" style="0" width="15.44"/>
    <col collapsed="false" customWidth="true" hidden="false" outlineLevel="0" max="19" min="19" style="0" width="12.67"/>
    <col collapsed="false" customWidth="true" hidden="false" outlineLevel="0" max="20" min="20" style="0" width="17.44"/>
    <col collapsed="false" customWidth="true" hidden="false" outlineLevel="0" max="21" min="21" style="0" width="15.44"/>
    <col collapsed="false" customWidth="true" hidden="false" outlineLevel="0" max="22" min="22" style="0" width="12.67"/>
    <col collapsed="false" customWidth="true" hidden="false" outlineLevel="0" max="23" min="23" style="0" width="17.44"/>
    <col collapsed="false" customWidth="true" hidden="false" outlineLevel="0" max="24" min="24" style="0" width="15.44"/>
    <col collapsed="false" customWidth="true" hidden="false" outlineLevel="0" max="25" min="25" style="0" width="12.67"/>
    <col collapsed="false" customWidth="true" hidden="false" outlineLevel="0" max="26" min="26" style="0" width="17.44"/>
    <col collapsed="false" customWidth="true" hidden="false" outlineLevel="0" max="27" min="27" style="0" width="15.44"/>
    <col collapsed="false" customWidth="true" hidden="false" outlineLevel="0" max="28" min="28" style="0" width="12.67"/>
    <col collapsed="false" customWidth="true" hidden="false" outlineLevel="0" max="29" min="29" style="0" width="17.44"/>
    <col collapsed="false" customWidth="true" hidden="false" outlineLevel="0" max="30" min="30" style="0" width="15.44"/>
    <col collapsed="false" customWidth="true" hidden="false" outlineLevel="0" max="31" min="31" style="0" width="12.67"/>
    <col collapsed="false" customWidth="true" hidden="false" outlineLevel="0" max="32" min="32" style="0" width="22.33"/>
    <col collapsed="false" customWidth="true" hidden="false" outlineLevel="0" max="33" min="33" style="0" width="20.33"/>
    <col collapsed="false" customWidth="true" hidden="false" outlineLevel="0" max="34" min="34" style="0" width="17.44"/>
  </cols>
  <sheetData>
    <row r="2" customFormat="false" ht="15" hidden="false" customHeight="false" outlineLevel="0" collapsed="false">
      <c r="B2" s="30" t="s">
        <v>1383</v>
      </c>
    </row>
    <row r="5" customFormat="false" ht="14.25" hidden="false" customHeight="false" outlineLevel="0" collapsed="false">
      <c r="B5" s="31" t="s">
        <v>83</v>
      </c>
      <c r="C5" s="32" t="s">
        <v>1384</v>
      </c>
      <c r="D5" s="33" t="s">
        <v>1385</v>
      </c>
    </row>
    <row r="6" customFormat="false" ht="14.25" hidden="false" customHeight="false" outlineLevel="0" collapsed="false">
      <c r="B6" s="34" t="s">
        <v>141</v>
      </c>
      <c r="C6" s="35" t="n">
        <v>70000</v>
      </c>
      <c r="D6" s="36" t="n">
        <v>48164</v>
      </c>
    </row>
    <row r="7" customFormat="false" ht="14.25" hidden="false" customHeight="false" outlineLevel="0" collapsed="false">
      <c r="B7" s="37" t="s">
        <v>137</v>
      </c>
      <c r="C7" s="38" t="n">
        <v>66000</v>
      </c>
      <c r="D7" s="39" t="n">
        <v>49405</v>
      </c>
    </row>
    <row r="8" customFormat="false" ht="14.25" hidden="false" customHeight="false" outlineLevel="0" collapsed="false">
      <c r="B8" s="37" t="s">
        <v>113</v>
      </c>
      <c r="C8" s="38" t="n">
        <v>109500</v>
      </c>
      <c r="D8" s="39" t="n">
        <v>73502</v>
      </c>
    </row>
    <row r="9" customFormat="false" ht="14.25" hidden="false" customHeight="false" outlineLevel="0" collapsed="false">
      <c r="B9" s="37" t="s">
        <v>109</v>
      </c>
      <c r="C9" s="38" t="n">
        <v>85500</v>
      </c>
      <c r="D9" s="39" t="n">
        <v>65762</v>
      </c>
    </row>
    <row r="10" customFormat="false" ht="14.25" hidden="false" customHeight="false" outlineLevel="0" collapsed="false">
      <c r="B10" s="37" t="s">
        <v>148</v>
      </c>
      <c r="C10" s="38" t="n">
        <v>90000</v>
      </c>
      <c r="D10" s="39" t="n">
        <v>74295</v>
      </c>
    </row>
    <row r="11" customFormat="false" ht="14.25" hidden="false" customHeight="false" outlineLevel="0" collapsed="false">
      <c r="B11" s="37" t="s">
        <v>94</v>
      </c>
      <c r="C11" s="38" t="n">
        <v>97500</v>
      </c>
      <c r="D11" s="39" t="n">
        <v>71644</v>
      </c>
    </row>
    <row r="12" customFormat="false" ht="14.25" hidden="false" customHeight="false" outlineLevel="0" collapsed="false">
      <c r="B12" s="37" t="s">
        <v>134</v>
      </c>
      <c r="C12" s="38" t="n">
        <v>106000</v>
      </c>
      <c r="D12" s="39" t="n">
        <v>72504</v>
      </c>
    </row>
    <row r="13" customFormat="false" ht="14.25" hidden="false" customHeight="false" outlineLevel="0" collapsed="false">
      <c r="B13" s="37" t="s">
        <v>99</v>
      </c>
      <c r="C13" s="38" t="n">
        <v>98000</v>
      </c>
      <c r="D13" s="39" t="n">
        <v>90358</v>
      </c>
    </row>
    <row r="14" customFormat="false" ht="14.25" hidden="false" customHeight="false" outlineLevel="0" collapsed="false">
      <c r="B14" s="37" t="s">
        <v>117</v>
      </c>
      <c r="C14" s="38" t="n">
        <v>94000</v>
      </c>
      <c r="D14" s="39" t="n">
        <v>60539</v>
      </c>
    </row>
    <row r="15" customFormat="false" ht="14.25" hidden="false" customHeight="false" outlineLevel="0" collapsed="false">
      <c r="B15" s="37" t="s">
        <v>121</v>
      </c>
      <c r="C15" s="38" t="n">
        <v>93000</v>
      </c>
      <c r="D15" s="39" t="n">
        <v>74881</v>
      </c>
    </row>
    <row r="16" customFormat="false" ht="14.25" hidden="false" customHeight="false" outlineLevel="0" collapsed="false">
      <c r="B16" s="37" t="s">
        <v>130</v>
      </c>
      <c r="C16" s="38" t="n">
        <v>77500</v>
      </c>
      <c r="D16" s="39" t="n">
        <v>40791</v>
      </c>
    </row>
    <row r="17" customFormat="false" ht="14.25" hidden="false" customHeight="false" outlineLevel="0" collapsed="false">
      <c r="B17" s="37" t="s">
        <v>144</v>
      </c>
      <c r="C17" s="38" t="n">
        <v>93000</v>
      </c>
      <c r="D17" s="39" t="n">
        <v>58608</v>
      </c>
    </row>
    <row r="18" customFormat="false" ht="14.25" hidden="false" customHeight="false" outlineLevel="0" collapsed="false">
      <c r="B18" s="37" t="s">
        <v>126</v>
      </c>
      <c r="C18" s="38" t="n">
        <v>74000</v>
      </c>
      <c r="D18" s="39" t="n">
        <v>53913</v>
      </c>
    </row>
    <row r="19" customFormat="false" ht="14.25" hidden="false" customHeight="false" outlineLevel="0" collapsed="false">
      <c r="B19" s="37" t="s">
        <v>104</v>
      </c>
      <c r="C19" s="38" t="n">
        <v>78500</v>
      </c>
      <c r="D19" s="39" t="n">
        <v>67742</v>
      </c>
    </row>
    <row r="20" customFormat="false" ht="14.25" hidden="false" customHeight="false" outlineLevel="0" collapsed="false">
      <c r="B20" s="37" t="s">
        <v>89</v>
      </c>
      <c r="C20" s="40" t="n">
        <v>50000</v>
      </c>
      <c r="D20" s="41" t="n">
        <v>37614</v>
      </c>
    </row>
    <row r="21" customFormat="false" ht="14.25" hidden="false" customHeight="false" outlineLevel="0" collapsed="false">
      <c r="B21" s="42" t="s">
        <v>1386</v>
      </c>
      <c r="C21" s="43" t="n">
        <v>1282500</v>
      </c>
      <c r="D21" s="44" t="n">
        <v>939722</v>
      </c>
    </row>
    <row r="33" customFormat="false" ht="14.25" hidden="false" customHeight="false" outlineLevel="0" collapsed="false">
      <c r="B33" s="45" t="s">
        <v>1387</v>
      </c>
      <c r="C33" s="46" t="s">
        <v>154</v>
      </c>
      <c r="D33" s="47"/>
      <c r="E33" s="47"/>
      <c r="F33" s="47"/>
      <c r="G33" s="48"/>
    </row>
    <row r="34" customFormat="false" ht="14.25" hidden="false" customHeight="false" outlineLevel="0" collapsed="false">
      <c r="B34" s="49" t="s">
        <v>2</v>
      </c>
      <c r="C34" s="50" t="s">
        <v>239</v>
      </c>
      <c r="D34" s="51" t="s">
        <v>194</v>
      </c>
      <c r="E34" s="51" t="s">
        <v>212</v>
      </c>
      <c r="F34" s="51" t="s">
        <v>201</v>
      </c>
      <c r="G34" s="52" t="s">
        <v>1386</v>
      </c>
    </row>
    <row r="35" customFormat="false" ht="14.25" hidden="false" customHeight="false" outlineLevel="0" collapsed="false">
      <c r="B35" s="34" t="s">
        <v>34</v>
      </c>
      <c r="C35" s="53" t="n">
        <v>17</v>
      </c>
      <c r="D35" s="54" t="n">
        <v>7</v>
      </c>
      <c r="E35" s="54" t="n">
        <v>18</v>
      </c>
      <c r="F35" s="55" t="n">
        <v>5</v>
      </c>
      <c r="G35" s="56" t="n">
        <v>47</v>
      </c>
    </row>
    <row r="36" customFormat="false" ht="14.25" hidden="false" customHeight="false" outlineLevel="0" collapsed="false">
      <c r="B36" s="37" t="s">
        <v>54</v>
      </c>
      <c r="C36" s="57" t="n">
        <v>16</v>
      </c>
      <c r="D36" s="58" t="n">
        <v>6</v>
      </c>
      <c r="E36" s="58" t="n">
        <v>11</v>
      </c>
      <c r="F36" s="59" t="n">
        <v>5</v>
      </c>
      <c r="G36" s="60" t="n">
        <v>38</v>
      </c>
    </row>
    <row r="37" customFormat="false" ht="14.25" hidden="false" customHeight="false" outlineLevel="0" collapsed="false">
      <c r="B37" s="37" t="s">
        <v>7</v>
      </c>
      <c r="C37" s="57" t="n">
        <v>23</v>
      </c>
      <c r="D37" s="58" t="n">
        <v>9</v>
      </c>
      <c r="E37" s="58" t="n">
        <v>10</v>
      </c>
      <c r="F37" s="59" t="n">
        <v>10</v>
      </c>
      <c r="G37" s="60" t="n">
        <v>52</v>
      </c>
    </row>
    <row r="38" customFormat="false" ht="14.25" hidden="false" customHeight="false" outlineLevel="0" collapsed="false">
      <c r="B38" s="37" t="s">
        <v>44</v>
      </c>
      <c r="C38" s="57" t="n">
        <v>17</v>
      </c>
      <c r="D38" s="58" t="n">
        <v>8</v>
      </c>
      <c r="E38" s="58" t="n">
        <v>17</v>
      </c>
      <c r="F38" s="59" t="n">
        <v>7</v>
      </c>
      <c r="G38" s="60" t="n">
        <v>49</v>
      </c>
    </row>
    <row r="39" customFormat="false" ht="14.25" hidden="false" customHeight="false" outlineLevel="0" collapsed="false">
      <c r="B39" s="37" t="s">
        <v>21</v>
      </c>
      <c r="C39" s="57" t="n">
        <v>22</v>
      </c>
      <c r="D39" s="58" t="n">
        <v>4</v>
      </c>
      <c r="E39" s="58" t="n">
        <v>16</v>
      </c>
      <c r="F39" s="59" t="n">
        <v>5</v>
      </c>
      <c r="G39" s="60" t="n">
        <v>47</v>
      </c>
    </row>
    <row r="40" customFormat="false" ht="14.25" hidden="false" customHeight="false" outlineLevel="0" collapsed="false">
      <c r="B40" s="37" t="s">
        <v>63</v>
      </c>
      <c r="C40" s="57" t="n">
        <v>15</v>
      </c>
      <c r="D40" s="58" t="n">
        <v>6</v>
      </c>
      <c r="E40" s="58" t="n">
        <v>18</v>
      </c>
      <c r="F40" s="59" t="n">
        <v>3</v>
      </c>
      <c r="G40" s="60" t="n">
        <v>42</v>
      </c>
    </row>
    <row r="41" customFormat="false" ht="14.25" hidden="false" customHeight="false" outlineLevel="0" collapsed="false">
      <c r="B41" s="37" t="s">
        <v>76</v>
      </c>
      <c r="C41" s="61" t="n">
        <v>15</v>
      </c>
      <c r="D41" s="62" t="n">
        <v>6</v>
      </c>
      <c r="E41" s="62" t="n">
        <v>9</v>
      </c>
      <c r="F41" s="63" t="n">
        <v>4</v>
      </c>
      <c r="G41" s="64" t="n">
        <v>34</v>
      </c>
    </row>
    <row r="42" customFormat="false" ht="14.25" hidden="false" customHeight="false" outlineLevel="0" collapsed="false">
      <c r="B42" s="42" t="s">
        <v>1386</v>
      </c>
      <c r="C42" s="65" t="n">
        <v>125</v>
      </c>
      <c r="D42" s="66" t="n">
        <v>46</v>
      </c>
      <c r="E42" s="66" t="n">
        <v>99</v>
      </c>
      <c r="F42" s="67" t="n">
        <v>39</v>
      </c>
      <c r="G42" s="68" t="n">
        <v>309</v>
      </c>
    </row>
    <row r="58" customFormat="false" ht="14.25" hidden="false" customHeight="false" outlineLevel="0" collapsed="false">
      <c r="B58" s="45" t="s">
        <v>1387</v>
      </c>
      <c r="C58" s="46" t="s">
        <v>153</v>
      </c>
      <c r="D58" s="47"/>
      <c r="E58" s="47"/>
      <c r="F58" s="47"/>
      <c r="G58" s="48"/>
    </row>
    <row r="59" customFormat="false" ht="14.25" hidden="false" customHeight="false" outlineLevel="0" collapsed="false">
      <c r="B59" s="49" t="s">
        <v>2</v>
      </c>
      <c r="C59" s="50" t="s">
        <v>275</v>
      </c>
      <c r="D59" s="51" t="s">
        <v>175</v>
      </c>
      <c r="E59" s="51" t="s">
        <v>206</v>
      </c>
      <c r="F59" s="51" t="s">
        <v>1372</v>
      </c>
      <c r="G59" s="52" t="s">
        <v>1386</v>
      </c>
    </row>
    <row r="60" customFormat="false" ht="14.25" hidden="false" customHeight="false" outlineLevel="0" collapsed="false">
      <c r="B60" s="34" t="s">
        <v>34</v>
      </c>
      <c r="C60" s="53" t="n">
        <v>13</v>
      </c>
      <c r="D60" s="54" t="n">
        <v>22</v>
      </c>
      <c r="E60" s="54" t="n">
        <v>12</v>
      </c>
      <c r="F60" s="55"/>
      <c r="G60" s="56" t="n">
        <v>47</v>
      </c>
    </row>
    <row r="61" customFormat="false" ht="14.25" hidden="false" customHeight="false" outlineLevel="0" collapsed="false">
      <c r="B61" s="37" t="s">
        <v>54</v>
      </c>
      <c r="C61" s="57" t="n">
        <v>13</v>
      </c>
      <c r="D61" s="58" t="n">
        <v>11</v>
      </c>
      <c r="E61" s="58" t="n">
        <v>12</v>
      </c>
      <c r="F61" s="59" t="n">
        <v>2</v>
      </c>
      <c r="G61" s="60" t="n">
        <v>38</v>
      </c>
    </row>
    <row r="62" customFormat="false" ht="14.25" hidden="false" customHeight="false" outlineLevel="0" collapsed="false">
      <c r="B62" s="37" t="s">
        <v>7</v>
      </c>
      <c r="C62" s="57" t="n">
        <v>24</v>
      </c>
      <c r="D62" s="58" t="n">
        <v>12</v>
      </c>
      <c r="E62" s="58" t="n">
        <v>14</v>
      </c>
      <c r="F62" s="59" t="n">
        <v>2</v>
      </c>
      <c r="G62" s="60" t="n">
        <v>52</v>
      </c>
    </row>
    <row r="63" customFormat="false" ht="14.25" hidden="false" customHeight="false" outlineLevel="0" collapsed="false">
      <c r="B63" s="37" t="s">
        <v>44</v>
      </c>
      <c r="C63" s="57" t="n">
        <v>14</v>
      </c>
      <c r="D63" s="58" t="n">
        <v>15</v>
      </c>
      <c r="E63" s="58" t="n">
        <v>20</v>
      </c>
      <c r="F63" s="59"/>
      <c r="G63" s="60" t="n">
        <v>49</v>
      </c>
    </row>
    <row r="64" customFormat="false" ht="14.25" hidden="false" customHeight="false" outlineLevel="0" collapsed="false">
      <c r="B64" s="37" t="s">
        <v>21</v>
      </c>
      <c r="C64" s="57" t="n">
        <v>17</v>
      </c>
      <c r="D64" s="58" t="n">
        <v>14</v>
      </c>
      <c r="E64" s="58" t="n">
        <v>15</v>
      </c>
      <c r="F64" s="59" t="n">
        <v>1</v>
      </c>
      <c r="G64" s="60" t="n">
        <v>47</v>
      </c>
    </row>
    <row r="65" customFormat="false" ht="14.25" hidden="false" customHeight="false" outlineLevel="0" collapsed="false">
      <c r="B65" s="37" t="s">
        <v>63</v>
      </c>
      <c r="C65" s="57" t="n">
        <v>14</v>
      </c>
      <c r="D65" s="58" t="n">
        <v>15</v>
      </c>
      <c r="E65" s="58" t="n">
        <v>12</v>
      </c>
      <c r="F65" s="59" t="n">
        <v>1</v>
      </c>
      <c r="G65" s="60" t="n">
        <v>42</v>
      </c>
    </row>
    <row r="66" customFormat="false" ht="14.25" hidden="false" customHeight="false" outlineLevel="0" collapsed="false">
      <c r="B66" s="37" t="s">
        <v>76</v>
      </c>
      <c r="C66" s="61" t="n">
        <v>13</v>
      </c>
      <c r="D66" s="62" t="n">
        <v>7</v>
      </c>
      <c r="E66" s="62" t="n">
        <v>14</v>
      </c>
      <c r="F66" s="63"/>
      <c r="G66" s="64" t="n">
        <v>34</v>
      </c>
    </row>
    <row r="67" customFormat="false" ht="14.25" hidden="false" customHeight="false" outlineLevel="0" collapsed="false">
      <c r="B67" s="42" t="s">
        <v>1386</v>
      </c>
      <c r="C67" s="65" t="n">
        <v>108</v>
      </c>
      <c r="D67" s="66" t="n">
        <v>96</v>
      </c>
      <c r="E67" s="66" t="n">
        <v>99</v>
      </c>
      <c r="F67" s="67" t="n">
        <v>6</v>
      </c>
      <c r="G67" s="68" t="n">
        <v>309</v>
      </c>
    </row>
    <row r="83" customFormat="false" ht="14.25" hidden="false" customHeight="false" outlineLevel="0" collapsed="false">
      <c r="B83" s="31" t="s">
        <v>152</v>
      </c>
      <c r="C83" s="69" t="s">
        <v>1385</v>
      </c>
    </row>
    <row r="84" customFormat="false" ht="14.25" hidden="false" customHeight="false" outlineLevel="0" collapsed="false">
      <c r="B84" s="34" t="s">
        <v>12</v>
      </c>
      <c r="C84" s="70" t="n">
        <v>65635</v>
      </c>
    </row>
    <row r="85" customFormat="false" ht="14.25" hidden="false" customHeight="false" outlineLevel="0" collapsed="false">
      <c r="B85" s="37" t="s">
        <v>47</v>
      </c>
      <c r="C85" s="71" t="n">
        <v>64193</v>
      </c>
    </row>
    <row r="86" customFormat="false" ht="14.25" hidden="false" customHeight="false" outlineLevel="0" collapsed="false">
      <c r="B86" s="37" t="s">
        <v>71</v>
      </c>
      <c r="C86" s="71" t="n">
        <v>58857</v>
      </c>
    </row>
    <row r="87" customFormat="false" ht="14.25" hidden="false" customHeight="false" outlineLevel="0" collapsed="false">
      <c r="B87" s="37" t="s">
        <v>62</v>
      </c>
      <c r="C87" s="71" t="n">
        <v>49862</v>
      </c>
    </row>
    <row r="88" customFormat="false" ht="14.25" hidden="false" customHeight="false" outlineLevel="0" collapsed="false">
      <c r="B88" s="37" t="s">
        <v>33</v>
      </c>
      <c r="C88" s="72" t="n">
        <v>47894</v>
      </c>
    </row>
    <row r="89" customFormat="false" ht="14.25" hidden="false" customHeight="false" outlineLevel="0" collapsed="false">
      <c r="B89" s="42" t="s">
        <v>1386</v>
      </c>
      <c r="C89" s="73" t="n">
        <v>286441</v>
      </c>
    </row>
    <row r="111" customFormat="false" ht="14.25" hidden="false" customHeight="false" outlineLevel="0" collapsed="false">
      <c r="K111" s="19" t="s">
        <v>1388</v>
      </c>
    </row>
    <row r="112" customFormat="false" ht="14.25" hidden="false" customHeight="false" outlineLevel="0" collapsed="false">
      <c r="K112" s="0" t="s">
        <v>34</v>
      </c>
      <c r="N112" s="0" t="s">
        <v>54</v>
      </c>
      <c r="Q112" s="0" t="s">
        <v>7</v>
      </c>
      <c r="T112" s="0" t="s">
        <v>44</v>
      </c>
      <c r="W112" s="0" t="s">
        <v>21</v>
      </c>
      <c r="Z112" s="0" t="s">
        <v>63</v>
      </c>
      <c r="AC112" s="0" t="s">
        <v>76</v>
      </c>
      <c r="AF112" s="0" t="s">
        <v>1389</v>
      </c>
      <c r="AG112" s="0" t="s">
        <v>1390</v>
      </c>
      <c r="AH112" s="0" t="s">
        <v>1391</v>
      </c>
    </row>
    <row r="113" customFormat="false" ht="14.25" hidden="false" customHeight="false" outlineLevel="0" collapsed="false">
      <c r="J113" s="19" t="s">
        <v>1392</v>
      </c>
      <c r="K113" s="0" t="s">
        <v>1393</v>
      </c>
      <c r="L113" s="0" t="s">
        <v>1394</v>
      </c>
      <c r="M113" s="0" t="s">
        <v>1395</v>
      </c>
      <c r="N113" s="0" t="s">
        <v>1393</v>
      </c>
      <c r="O113" s="0" t="s">
        <v>1394</v>
      </c>
      <c r="P113" s="0" t="s">
        <v>1395</v>
      </c>
      <c r="Q113" s="0" t="s">
        <v>1393</v>
      </c>
      <c r="R113" s="0" t="s">
        <v>1394</v>
      </c>
      <c r="S113" s="0" t="s">
        <v>1395</v>
      </c>
      <c r="T113" s="0" t="s">
        <v>1393</v>
      </c>
      <c r="U113" s="0" t="s">
        <v>1394</v>
      </c>
      <c r="V113" s="0" t="s">
        <v>1395</v>
      </c>
      <c r="W113" s="0" t="s">
        <v>1393</v>
      </c>
      <c r="X113" s="0" t="s">
        <v>1394</v>
      </c>
      <c r="Y113" s="0" t="s">
        <v>1395</v>
      </c>
      <c r="Z113" s="0" t="s">
        <v>1393</v>
      </c>
      <c r="AA113" s="0" t="s">
        <v>1394</v>
      </c>
      <c r="AB113" s="0" t="s">
        <v>1395</v>
      </c>
      <c r="AC113" s="0" t="s">
        <v>1393</v>
      </c>
      <c r="AD113" s="0" t="s">
        <v>1394</v>
      </c>
      <c r="AE113" s="0" t="s">
        <v>1395</v>
      </c>
    </row>
    <row r="114" customFormat="false" ht="14.25" hidden="false" customHeight="false" outlineLevel="0" collapsed="false">
      <c r="J114" s="74" t="s">
        <v>141</v>
      </c>
      <c r="K114" s="75"/>
      <c r="L114" s="75"/>
      <c r="M114" s="75"/>
      <c r="N114" s="75" t="n">
        <v>1500</v>
      </c>
      <c r="O114" s="75" t="n">
        <v>1849</v>
      </c>
      <c r="P114" s="75" t="n">
        <v>349</v>
      </c>
      <c r="Q114" s="75" t="n">
        <v>23000</v>
      </c>
      <c r="R114" s="75" t="n">
        <v>25219</v>
      </c>
      <c r="S114" s="75" t="n">
        <v>2219</v>
      </c>
      <c r="T114" s="75"/>
      <c r="U114" s="75"/>
      <c r="V114" s="75"/>
      <c r="W114" s="75" t="n">
        <v>9000</v>
      </c>
      <c r="X114" s="75" t="n">
        <v>4271</v>
      </c>
      <c r="Y114" s="75" t="n">
        <v>-4729</v>
      </c>
      <c r="Z114" s="75" t="n">
        <v>29000</v>
      </c>
      <c r="AA114" s="75" t="n">
        <v>12857</v>
      </c>
      <c r="AB114" s="75" t="n">
        <v>-16143</v>
      </c>
      <c r="AC114" s="75" t="n">
        <v>7500</v>
      </c>
      <c r="AD114" s="75" t="n">
        <v>3968</v>
      </c>
      <c r="AE114" s="75" t="n">
        <v>-3532</v>
      </c>
      <c r="AF114" s="75" t="n">
        <v>70000</v>
      </c>
      <c r="AG114" s="75" t="n">
        <v>48164</v>
      </c>
      <c r="AH114" s="75" t="n">
        <v>-21836</v>
      </c>
    </row>
    <row r="115" customFormat="false" ht="14.25" hidden="false" customHeight="false" outlineLevel="0" collapsed="false">
      <c r="J115" s="74" t="s">
        <v>137</v>
      </c>
      <c r="K115" s="75" t="n">
        <v>18000</v>
      </c>
      <c r="L115" s="75" t="n">
        <v>17810</v>
      </c>
      <c r="M115" s="75" t="n">
        <v>-190</v>
      </c>
      <c r="N115" s="75"/>
      <c r="O115" s="75"/>
      <c r="P115" s="75"/>
      <c r="Q115" s="75" t="n">
        <v>13000</v>
      </c>
      <c r="R115" s="75" t="n">
        <v>7401</v>
      </c>
      <c r="S115" s="75" t="n">
        <v>-5599</v>
      </c>
      <c r="T115" s="75" t="n">
        <v>6000</v>
      </c>
      <c r="U115" s="75" t="n">
        <v>5693</v>
      </c>
      <c r="V115" s="75" t="n">
        <v>-307</v>
      </c>
      <c r="W115" s="75" t="n">
        <v>5000</v>
      </c>
      <c r="X115" s="75" t="n">
        <v>1387</v>
      </c>
      <c r="Y115" s="75" t="n">
        <v>-3613</v>
      </c>
      <c r="Z115" s="75" t="n">
        <v>24000</v>
      </c>
      <c r="AA115" s="75" t="n">
        <v>17114</v>
      </c>
      <c r="AB115" s="75" t="n">
        <v>-6886</v>
      </c>
      <c r="AC115" s="75"/>
      <c r="AD115" s="75"/>
      <c r="AE115" s="75"/>
      <c r="AF115" s="75" t="n">
        <v>66000</v>
      </c>
      <c r="AG115" s="75" t="n">
        <v>49405</v>
      </c>
      <c r="AH115" s="75" t="n">
        <v>-16595</v>
      </c>
    </row>
    <row r="116" customFormat="false" ht="14.25" hidden="false" customHeight="false" outlineLevel="0" collapsed="false">
      <c r="J116" s="74" t="s">
        <v>113</v>
      </c>
      <c r="K116" s="75" t="n">
        <v>17000</v>
      </c>
      <c r="L116" s="75" t="n">
        <v>17278</v>
      </c>
      <c r="M116" s="75" t="n">
        <v>278</v>
      </c>
      <c r="N116" s="75" t="n">
        <v>16000</v>
      </c>
      <c r="O116" s="75" t="n">
        <v>8299</v>
      </c>
      <c r="P116" s="75" t="n">
        <v>-7701</v>
      </c>
      <c r="Q116" s="75" t="n">
        <v>19000</v>
      </c>
      <c r="R116" s="75" t="n">
        <v>11191</v>
      </c>
      <c r="S116" s="75" t="n">
        <v>-7809</v>
      </c>
      <c r="T116" s="75" t="n">
        <v>14000</v>
      </c>
      <c r="U116" s="75" t="n">
        <v>13212</v>
      </c>
      <c r="V116" s="75" t="n">
        <v>-788</v>
      </c>
      <c r="W116" s="75" t="n">
        <v>8000</v>
      </c>
      <c r="X116" s="75" t="n">
        <v>0</v>
      </c>
      <c r="Y116" s="75" t="n">
        <v>-8000</v>
      </c>
      <c r="Z116" s="75" t="n">
        <v>23000</v>
      </c>
      <c r="AA116" s="75" t="n">
        <v>13925</v>
      </c>
      <c r="AB116" s="75" t="n">
        <v>-9075</v>
      </c>
      <c r="AC116" s="75" t="n">
        <v>12500</v>
      </c>
      <c r="AD116" s="75" t="n">
        <v>9597</v>
      </c>
      <c r="AE116" s="75" t="n">
        <v>-2903</v>
      </c>
      <c r="AF116" s="75" t="n">
        <v>109500</v>
      </c>
      <c r="AG116" s="75" t="n">
        <v>73502</v>
      </c>
      <c r="AH116" s="75" t="n">
        <v>-35998</v>
      </c>
    </row>
    <row r="117" customFormat="false" ht="14.25" hidden="false" customHeight="false" outlineLevel="0" collapsed="false">
      <c r="J117" s="74" t="s">
        <v>109</v>
      </c>
      <c r="K117" s="75"/>
      <c r="L117" s="75"/>
      <c r="M117" s="75"/>
      <c r="N117" s="75" t="n">
        <v>6000</v>
      </c>
      <c r="O117" s="75" t="n">
        <v>7899</v>
      </c>
      <c r="P117" s="75" t="n">
        <v>1899</v>
      </c>
      <c r="Q117" s="75" t="n">
        <v>33500</v>
      </c>
      <c r="R117" s="75" t="n">
        <v>21426</v>
      </c>
      <c r="S117" s="75" t="n">
        <v>-12074</v>
      </c>
      <c r="T117" s="75" t="n">
        <v>3500</v>
      </c>
      <c r="U117" s="75" t="n">
        <v>4396</v>
      </c>
      <c r="V117" s="75" t="n">
        <v>896</v>
      </c>
      <c r="W117" s="75" t="n">
        <v>21000</v>
      </c>
      <c r="X117" s="75" t="n">
        <v>11286</v>
      </c>
      <c r="Y117" s="75" t="n">
        <v>-9714</v>
      </c>
      <c r="Z117" s="75" t="n">
        <v>6000</v>
      </c>
      <c r="AA117" s="75" t="n">
        <v>5085</v>
      </c>
      <c r="AB117" s="75" t="n">
        <v>-915</v>
      </c>
      <c r="AC117" s="75" t="n">
        <v>15500</v>
      </c>
      <c r="AD117" s="75" t="n">
        <v>15670</v>
      </c>
      <c r="AE117" s="75" t="n">
        <v>170</v>
      </c>
      <c r="AF117" s="75" t="n">
        <v>85500</v>
      </c>
      <c r="AG117" s="75" t="n">
        <v>65762</v>
      </c>
      <c r="AH117" s="75" t="n">
        <v>-19738</v>
      </c>
    </row>
    <row r="118" customFormat="false" ht="14.25" hidden="false" customHeight="false" outlineLevel="0" collapsed="false">
      <c r="J118" s="74" t="s">
        <v>148</v>
      </c>
      <c r="K118" s="75" t="n">
        <v>11500</v>
      </c>
      <c r="L118" s="75" t="n">
        <v>12409</v>
      </c>
      <c r="M118" s="75" t="n">
        <v>909</v>
      </c>
      <c r="N118" s="75" t="n">
        <v>2000</v>
      </c>
      <c r="O118" s="75" t="n">
        <v>460</v>
      </c>
      <c r="P118" s="75" t="n">
        <v>-1540</v>
      </c>
      <c r="Q118" s="75" t="n">
        <v>1500</v>
      </c>
      <c r="R118" s="75" t="n">
        <v>408</v>
      </c>
      <c r="S118" s="75" t="n">
        <v>-1092</v>
      </c>
      <c r="T118" s="75" t="n">
        <v>34500</v>
      </c>
      <c r="U118" s="75" t="n">
        <v>35978</v>
      </c>
      <c r="V118" s="75" t="n">
        <v>1478</v>
      </c>
      <c r="W118" s="75" t="n">
        <v>1000</v>
      </c>
      <c r="X118" s="75" t="n">
        <v>620</v>
      </c>
      <c r="Y118" s="75" t="n">
        <v>-380</v>
      </c>
      <c r="Z118" s="75" t="n">
        <v>31500</v>
      </c>
      <c r="AA118" s="75" t="n">
        <v>19549</v>
      </c>
      <c r="AB118" s="75" t="n">
        <v>-11951</v>
      </c>
      <c r="AC118" s="75" t="n">
        <v>8000</v>
      </c>
      <c r="AD118" s="75" t="n">
        <v>4871</v>
      </c>
      <c r="AE118" s="75" t="n">
        <v>-3129</v>
      </c>
      <c r="AF118" s="75" t="n">
        <v>90000</v>
      </c>
      <c r="AG118" s="75" t="n">
        <v>74295</v>
      </c>
      <c r="AH118" s="75" t="n">
        <v>-15705</v>
      </c>
    </row>
    <row r="119" customFormat="false" ht="14.25" hidden="false" customHeight="false" outlineLevel="0" collapsed="false">
      <c r="J119" s="74" t="s">
        <v>94</v>
      </c>
      <c r="K119" s="75" t="n">
        <v>11500</v>
      </c>
      <c r="L119" s="75" t="n">
        <v>6564</v>
      </c>
      <c r="M119" s="75" t="n">
        <v>-4936</v>
      </c>
      <c r="N119" s="75" t="n">
        <v>8000</v>
      </c>
      <c r="O119" s="75" t="n">
        <v>7185</v>
      </c>
      <c r="P119" s="75" t="n">
        <v>-815</v>
      </c>
      <c r="Q119" s="75" t="n">
        <v>16000</v>
      </c>
      <c r="R119" s="75" t="n">
        <v>11406</v>
      </c>
      <c r="S119" s="75" t="n">
        <v>-4594</v>
      </c>
      <c r="T119" s="75" t="n">
        <v>20500</v>
      </c>
      <c r="U119" s="75" t="n">
        <v>9715</v>
      </c>
      <c r="V119" s="75" t="n">
        <v>-10785</v>
      </c>
      <c r="W119" s="75" t="n">
        <v>4500</v>
      </c>
      <c r="X119" s="75" t="n">
        <v>3233</v>
      </c>
      <c r="Y119" s="75" t="n">
        <v>-1267</v>
      </c>
      <c r="Z119" s="75" t="n">
        <v>22500</v>
      </c>
      <c r="AA119" s="75" t="n">
        <v>22044</v>
      </c>
      <c r="AB119" s="75" t="n">
        <v>-456</v>
      </c>
      <c r="AC119" s="75" t="n">
        <v>14500</v>
      </c>
      <c r="AD119" s="75" t="n">
        <v>11497</v>
      </c>
      <c r="AE119" s="75" t="n">
        <v>-3003</v>
      </c>
      <c r="AF119" s="75" t="n">
        <v>97500</v>
      </c>
      <c r="AG119" s="75" t="n">
        <v>71644</v>
      </c>
      <c r="AH119" s="75" t="n">
        <v>-25856</v>
      </c>
    </row>
    <row r="120" customFormat="false" ht="14.25" hidden="false" customHeight="false" outlineLevel="0" collapsed="false">
      <c r="J120" s="74" t="s">
        <v>134</v>
      </c>
      <c r="K120" s="75" t="n">
        <v>11000</v>
      </c>
      <c r="L120" s="75" t="n">
        <v>5186</v>
      </c>
      <c r="M120" s="75" t="n">
        <v>-5814</v>
      </c>
      <c r="N120" s="75" t="n">
        <v>4000</v>
      </c>
      <c r="O120" s="75" t="n">
        <v>2776</v>
      </c>
      <c r="P120" s="75" t="n">
        <v>-1224</v>
      </c>
      <c r="Q120" s="75" t="n">
        <v>21000</v>
      </c>
      <c r="R120" s="75" t="n">
        <v>12526</v>
      </c>
      <c r="S120" s="75" t="n">
        <v>-8474</v>
      </c>
      <c r="T120" s="75" t="n">
        <v>7000</v>
      </c>
      <c r="U120" s="75" t="n">
        <v>6458</v>
      </c>
      <c r="V120" s="75" t="n">
        <v>-542</v>
      </c>
      <c r="W120" s="75" t="n">
        <v>19500</v>
      </c>
      <c r="X120" s="75" t="n">
        <v>5425</v>
      </c>
      <c r="Y120" s="75" t="n">
        <v>-14075</v>
      </c>
      <c r="Z120" s="75" t="n">
        <v>35500</v>
      </c>
      <c r="AA120" s="75" t="n">
        <v>32274</v>
      </c>
      <c r="AB120" s="75" t="n">
        <v>-3226</v>
      </c>
      <c r="AC120" s="75" t="n">
        <v>8000</v>
      </c>
      <c r="AD120" s="75" t="n">
        <v>7859</v>
      </c>
      <c r="AE120" s="75" t="n">
        <v>-141</v>
      </c>
      <c r="AF120" s="75" t="n">
        <v>106000</v>
      </c>
      <c r="AG120" s="75" t="n">
        <v>72504</v>
      </c>
      <c r="AH120" s="75" t="n">
        <v>-33496</v>
      </c>
    </row>
    <row r="121" customFormat="false" ht="14.25" hidden="false" customHeight="false" outlineLevel="0" collapsed="false">
      <c r="J121" s="74" t="s">
        <v>99</v>
      </c>
      <c r="K121" s="75" t="n">
        <v>11000</v>
      </c>
      <c r="L121" s="75" t="n">
        <v>9960</v>
      </c>
      <c r="M121" s="75" t="n">
        <v>-1040</v>
      </c>
      <c r="N121" s="75" t="n">
        <v>5000</v>
      </c>
      <c r="O121" s="75" t="n">
        <v>6029</v>
      </c>
      <c r="P121" s="75" t="n">
        <v>1029</v>
      </c>
      <c r="Q121" s="75" t="n">
        <v>4500</v>
      </c>
      <c r="R121" s="75" t="n">
        <v>3851</v>
      </c>
      <c r="S121" s="75" t="n">
        <v>-649</v>
      </c>
      <c r="T121" s="75" t="n">
        <v>20000</v>
      </c>
      <c r="U121" s="75" t="n">
        <v>26819</v>
      </c>
      <c r="V121" s="75" t="n">
        <v>6819</v>
      </c>
      <c r="W121" s="75" t="n">
        <v>27000</v>
      </c>
      <c r="X121" s="75" t="n">
        <v>16593</v>
      </c>
      <c r="Y121" s="75" t="n">
        <v>-10407</v>
      </c>
      <c r="Z121" s="75" t="n">
        <v>24500</v>
      </c>
      <c r="AA121" s="75" t="n">
        <v>21778</v>
      </c>
      <c r="AB121" s="75" t="n">
        <v>-2722</v>
      </c>
      <c r="AC121" s="75" t="n">
        <v>6000</v>
      </c>
      <c r="AD121" s="75" t="n">
        <v>5328</v>
      </c>
      <c r="AE121" s="75" t="n">
        <v>-672</v>
      </c>
      <c r="AF121" s="75" t="n">
        <v>98000</v>
      </c>
      <c r="AG121" s="75" t="n">
        <v>90358</v>
      </c>
      <c r="AH121" s="75" t="n">
        <v>-7642</v>
      </c>
    </row>
    <row r="122" customFormat="false" ht="14.25" hidden="false" customHeight="false" outlineLevel="0" collapsed="false">
      <c r="J122" s="74" t="s">
        <v>117</v>
      </c>
      <c r="K122" s="75" t="n">
        <v>35000</v>
      </c>
      <c r="L122" s="75" t="n">
        <v>15955</v>
      </c>
      <c r="M122" s="75" t="n">
        <v>-19045</v>
      </c>
      <c r="N122" s="75" t="n">
        <v>15500</v>
      </c>
      <c r="O122" s="75" t="n">
        <v>14813</v>
      </c>
      <c r="P122" s="75" t="n">
        <v>-687</v>
      </c>
      <c r="Q122" s="75" t="n">
        <v>11500</v>
      </c>
      <c r="R122" s="75" t="n">
        <v>12838</v>
      </c>
      <c r="S122" s="75" t="n">
        <v>1338</v>
      </c>
      <c r="T122" s="75" t="n">
        <v>1500</v>
      </c>
      <c r="U122" s="75" t="n">
        <v>1674</v>
      </c>
      <c r="V122" s="75" t="n">
        <v>174</v>
      </c>
      <c r="W122" s="75" t="n">
        <v>7500</v>
      </c>
      <c r="X122" s="75" t="n">
        <v>5896</v>
      </c>
      <c r="Y122" s="75" t="n">
        <v>-1604</v>
      </c>
      <c r="Z122" s="75" t="n">
        <v>15000</v>
      </c>
      <c r="AA122" s="75" t="n">
        <v>3913</v>
      </c>
      <c r="AB122" s="75" t="n">
        <v>-11087</v>
      </c>
      <c r="AC122" s="75" t="n">
        <v>8000</v>
      </c>
      <c r="AD122" s="75" t="n">
        <v>5450</v>
      </c>
      <c r="AE122" s="75" t="n">
        <v>-2550</v>
      </c>
      <c r="AF122" s="75" t="n">
        <v>94000</v>
      </c>
      <c r="AG122" s="75" t="n">
        <v>60539</v>
      </c>
      <c r="AH122" s="75" t="n">
        <v>-33461</v>
      </c>
    </row>
    <row r="123" customFormat="false" ht="14.25" hidden="false" customHeight="false" outlineLevel="0" collapsed="false">
      <c r="J123" s="74" t="s">
        <v>121</v>
      </c>
      <c r="K123" s="75" t="n">
        <v>1500</v>
      </c>
      <c r="L123" s="75" t="n">
        <v>0</v>
      </c>
      <c r="M123" s="75" t="n">
        <v>-1500</v>
      </c>
      <c r="N123" s="75" t="n">
        <v>15500</v>
      </c>
      <c r="O123" s="75" t="n">
        <v>12367</v>
      </c>
      <c r="P123" s="75" t="n">
        <v>-3133</v>
      </c>
      <c r="Q123" s="75" t="n">
        <v>34500</v>
      </c>
      <c r="R123" s="75" t="n">
        <v>30556</v>
      </c>
      <c r="S123" s="75" t="n">
        <v>-3944</v>
      </c>
      <c r="T123" s="75" t="n">
        <v>7000</v>
      </c>
      <c r="U123" s="75" t="n">
        <v>6518</v>
      </c>
      <c r="V123" s="75" t="n">
        <v>-482</v>
      </c>
      <c r="W123" s="75" t="n">
        <v>4000</v>
      </c>
      <c r="X123" s="75" t="n">
        <v>2274</v>
      </c>
      <c r="Y123" s="75" t="n">
        <v>-1726</v>
      </c>
      <c r="Z123" s="75" t="n">
        <v>25500</v>
      </c>
      <c r="AA123" s="75" t="n">
        <v>21510</v>
      </c>
      <c r="AB123" s="75" t="n">
        <v>-3990</v>
      </c>
      <c r="AC123" s="75" t="n">
        <v>5000</v>
      </c>
      <c r="AD123" s="75" t="n">
        <v>1656</v>
      </c>
      <c r="AE123" s="75" t="n">
        <v>-3344</v>
      </c>
      <c r="AF123" s="75" t="n">
        <v>93000</v>
      </c>
      <c r="AG123" s="75" t="n">
        <v>74881</v>
      </c>
      <c r="AH123" s="75" t="n">
        <v>-18119</v>
      </c>
    </row>
    <row r="124" customFormat="false" ht="14.25" hidden="false" customHeight="false" outlineLevel="0" collapsed="false">
      <c r="J124" s="74" t="s">
        <v>130</v>
      </c>
      <c r="K124" s="75" t="n">
        <v>13000</v>
      </c>
      <c r="L124" s="75" t="n">
        <v>2961</v>
      </c>
      <c r="M124" s="75" t="n">
        <v>-10039</v>
      </c>
      <c r="N124" s="75" t="n">
        <v>4000</v>
      </c>
      <c r="O124" s="75" t="n">
        <v>3074</v>
      </c>
      <c r="P124" s="75" t="n">
        <v>-926</v>
      </c>
      <c r="Q124" s="75" t="n">
        <v>10000</v>
      </c>
      <c r="R124" s="75" t="n">
        <v>3265</v>
      </c>
      <c r="S124" s="75" t="n">
        <v>-6735</v>
      </c>
      <c r="T124" s="75" t="n">
        <v>27000</v>
      </c>
      <c r="U124" s="75" t="n">
        <v>17338</v>
      </c>
      <c r="V124" s="75" t="n">
        <v>-9662</v>
      </c>
      <c r="W124" s="75" t="n">
        <v>13000</v>
      </c>
      <c r="X124" s="75" t="n">
        <v>8167</v>
      </c>
      <c r="Y124" s="75" t="n">
        <v>-4833</v>
      </c>
      <c r="Z124" s="75"/>
      <c r="AA124" s="75"/>
      <c r="AB124" s="75"/>
      <c r="AC124" s="75" t="n">
        <v>10500</v>
      </c>
      <c r="AD124" s="75" t="n">
        <v>5986</v>
      </c>
      <c r="AE124" s="75" t="n">
        <v>-4514</v>
      </c>
      <c r="AF124" s="75" t="n">
        <v>77500</v>
      </c>
      <c r="AG124" s="75" t="n">
        <v>40791</v>
      </c>
      <c r="AH124" s="75" t="n">
        <v>-36709</v>
      </c>
    </row>
    <row r="125" customFormat="false" ht="14.25" hidden="false" customHeight="false" outlineLevel="0" collapsed="false">
      <c r="J125" s="74" t="s">
        <v>144</v>
      </c>
      <c r="K125" s="75" t="n">
        <v>5000</v>
      </c>
      <c r="L125" s="75" t="n">
        <v>4508</v>
      </c>
      <c r="M125" s="75" t="n">
        <v>-492</v>
      </c>
      <c r="N125" s="75" t="n">
        <v>10000</v>
      </c>
      <c r="O125" s="75" t="n">
        <v>10986</v>
      </c>
      <c r="P125" s="75" t="n">
        <v>986</v>
      </c>
      <c r="Q125" s="75" t="n">
        <v>18000</v>
      </c>
      <c r="R125" s="75" t="n">
        <v>11092</v>
      </c>
      <c r="S125" s="75" t="n">
        <v>-6908</v>
      </c>
      <c r="T125" s="75" t="n">
        <v>4000</v>
      </c>
      <c r="U125" s="75" t="n">
        <v>1731</v>
      </c>
      <c r="V125" s="75" t="n">
        <v>-2269</v>
      </c>
      <c r="W125" s="75" t="n">
        <v>17500</v>
      </c>
      <c r="X125" s="75" t="n">
        <v>8494</v>
      </c>
      <c r="Y125" s="75" t="n">
        <v>-9006</v>
      </c>
      <c r="Z125" s="75" t="n">
        <v>16500</v>
      </c>
      <c r="AA125" s="75" t="n">
        <v>11794</v>
      </c>
      <c r="AB125" s="75" t="n">
        <v>-4706</v>
      </c>
      <c r="AC125" s="75" t="n">
        <v>22000</v>
      </c>
      <c r="AD125" s="75" t="n">
        <v>10003</v>
      </c>
      <c r="AE125" s="75" t="n">
        <v>-11997</v>
      </c>
      <c r="AF125" s="75" t="n">
        <v>93000</v>
      </c>
      <c r="AG125" s="75" t="n">
        <v>58608</v>
      </c>
      <c r="AH125" s="75" t="n">
        <v>-34392</v>
      </c>
    </row>
    <row r="126" customFormat="false" ht="14.25" hidden="false" customHeight="false" outlineLevel="0" collapsed="false">
      <c r="J126" s="74" t="s">
        <v>126</v>
      </c>
      <c r="K126" s="75" t="n">
        <v>10500</v>
      </c>
      <c r="L126" s="75" t="n">
        <v>9433</v>
      </c>
      <c r="M126" s="75" t="n">
        <v>-1067</v>
      </c>
      <c r="N126" s="75" t="n">
        <v>6000</v>
      </c>
      <c r="O126" s="75" t="n">
        <v>0</v>
      </c>
      <c r="P126" s="75" t="n">
        <v>-6000</v>
      </c>
      <c r="Q126" s="75" t="n">
        <v>16500</v>
      </c>
      <c r="R126" s="75" t="n">
        <v>10590</v>
      </c>
      <c r="S126" s="75" t="n">
        <v>-5910</v>
      </c>
      <c r="T126" s="75" t="n">
        <v>7000</v>
      </c>
      <c r="U126" s="75" t="n">
        <v>7825</v>
      </c>
      <c r="V126" s="75" t="n">
        <v>825</v>
      </c>
      <c r="W126" s="75" t="n">
        <v>17500</v>
      </c>
      <c r="X126" s="75" t="n">
        <v>15810</v>
      </c>
      <c r="Y126" s="75" t="n">
        <v>-1690</v>
      </c>
      <c r="Z126" s="75" t="n">
        <v>16500</v>
      </c>
      <c r="AA126" s="75" t="n">
        <v>10255</v>
      </c>
      <c r="AB126" s="75" t="n">
        <v>-6245</v>
      </c>
      <c r="AC126" s="75"/>
      <c r="AD126" s="75"/>
      <c r="AE126" s="75"/>
      <c r="AF126" s="75" t="n">
        <v>74000</v>
      </c>
      <c r="AG126" s="75" t="n">
        <v>53913</v>
      </c>
      <c r="AH126" s="75" t="n">
        <v>-20087</v>
      </c>
    </row>
    <row r="127" customFormat="false" ht="14.25" hidden="false" customHeight="false" outlineLevel="0" collapsed="false">
      <c r="J127" s="74" t="s">
        <v>104</v>
      </c>
      <c r="K127" s="75" t="n">
        <v>13000</v>
      </c>
      <c r="L127" s="75" t="n">
        <v>14239</v>
      </c>
      <c r="M127" s="75" t="n">
        <v>1239</v>
      </c>
      <c r="N127" s="75" t="n">
        <v>4500</v>
      </c>
      <c r="O127" s="75" t="n">
        <v>2629</v>
      </c>
      <c r="P127" s="75" t="n">
        <v>-1871</v>
      </c>
      <c r="Q127" s="75" t="n">
        <v>17500</v>
      </c>
      <c r="R127" s="75" t="n">
        <v>15105</v>
      </c>
      <c r="S127" s="75" t="n">
        <v>-2395</v>
      </c>
      <c r="T127" s="75" t="n">
        <v>15000</v>
      </c>
      <c r="U127" s="75" t="n">
        <v>11245</v>
      </c>
      <c r="V127" s="75" t="n">
        <v>-3755</v>
      </c>
      <c r="W127" s="75" t="n">
        <v>9000</v>
      </c>
      <c r="X127" s="75" t="n">
        <v>7198</v>
      </c>
      <c r="Y127" s="75" t="n">
        <v>-1802</v>
      </c>
      <c r="Z127" s="75" t="n">
        <v>10500</v>
      </c>
      <c r="AA127" s="75" t="n">
        <v>5254</v>
      </c>
      <c r="AB127" s="75" t="n">
        <v>-5246</v>
      </c>
      <c r="AC127" s="75" t="n">
        <v>9000</v>
      </c>
      <c r="AD127" s="75" t="n">
        <v>12072</v>
      </c>
      <c r="AE127" s="75" t="n">
        <v>3072</v>
      </c>
      <c r="AF127" s="75" t="n">
        <v>78500</v>
      </c>
      <c r="AG127" s="75" t="n">
        <v>67742</v>
      </c>
      <c r="AH127" s="75" t="n">
        <v>-10758</v>
      </c>
    </row>
    <row r="128" customFormat="false" ht="14.25" hidden="false" customHeight="false" outlineLevel="0" collapsed="false">
      <c r="J128" s="74" t="s">
        <v>89</v>
      </c>
      <c r="K128" s="75" t="n">
        <v>12500</v>
      </c>
      <c r="L128" s="75" t="n">
        <v>9513</v>
      </c>
      <c r="M128" s="75" t="n">
        <v>-2987</v>
      </c>
      <c r="N128" s="75" t="n">
        <v>1500</v>
      </c>
      <c r="O128" s="75" t="n">
        <v>618</v>
      </c>
      <c r="P128" s="75" t="n">
        <v>-882</v>
      </c>
      <c r="Q128" s="75" t="n">
        <v>4000</v>
      </c>
      <c r="R128" s="75" t="n">
        <v>1469</v>
      </c>
      <c r="S128" s="75" t="n">
        <v>-2531</v>
      </c>
      <c r="T128" s="75"/>
      <c r="U128" s="75"/>
      <c r="V128" s="75"/>
      <c r="W128" s="75" t="n">
        <v>15000</v>
      </c>
      <c r="X128" s="75" t="n">
        <v>12229</v>
      </c>
      <c r="Y128" s="75" t="n">
        <v>-2771</v>
      </c>
      <c r="Z128" s="75" t="n">
        <v>15500</v>
      </c>
      <c r="AA128" s="75" t="n">
        <v>12069</v>
      </c>
      <c r="AB128" s="75" t="n">
        <v>-3431</v>
      </c>
      <c r="AC128" s="75" t="n">
        <v>1500</v>
      </c>
      <c r="AD128" s="75" t="n">
        <v>1716</v>
      </c>
      <c r="AE128" s="75" t="n">
        <v>216</v>
      </c>
      <c r="AF128" s="75" t="n">
        <v>50000</v>
      </c>
      <c r="AG128" s="75" t="n">
        <v>37614</v>
      </c>
      <c r="AH128" s="75" t="n">
        <v>-12386</v>
      </c>
    </row>
    <row r="129" customFormat="false" ht="14.25" hidden="false" customHeight="false" outlineLevel="0" collapsed="false">
      <c r="J129" s="74" t="s">
        <v>1396</v>
      </c>
      <c r="K129" s="75" t="n">
        <v>170500</v>
      </c>
      <c r="L129" s="75" t="n">
        <v>125816</v>
      </c>
      <c r="M129" s="75" t="n">
        <v>-44684</v>
      </c>
      <c r="N129" s="75" t="n">
        <v>99500</v>
      </c>
      <c r="O129" s="75" t="n">
        <v>78984</v>
      </c>
      <c r="P129" s="75" t="n">
        <v>-20516</v>
      </c>
      <c r="Q129" s="75" t="n">
        <v>243500</v>
      </c>
      <c r="R129" s="75" t="n">
        <v>178343</v>
      </c>
      <c r="S129" s="75" t="n">
        <v>-65157</v>
      </c>
      <c r="T129" s="75" t="n">
        <v>167000</v>
      </c>
      <c r="U129" s="75" t="n">
        <v>148602</v>
      </c>
      <c r="V129" s="75" t="n">
        <v>-18398</v>
      </c>
      <c r="W129" s="75" t="n">
        <v>178500</v>
      </c>
      <c r="X129" s="75" t="n">
        <v>102883</v>
      </c>
      <c r="Y129" s="75" t="n">
        <v>-75617</v>
      </c>
      <c r="Z129" s="75" t="n">
        <v>295500</v>
      </c>
      <c r="AA129" s="75" t="n">
        <v>209421</v>
      </c>
      <c r="AB129" s="75" t="n">
        <v>-86079</v>
      </c>
      <c r="AC129" s="75" t="n">
        <v>128000</v>
      </c>
      <c r="AD129" s="75" t="n">
        <v>95673</v>
      </c>
      <c r="AE129" s="75" t="n">
        <v>-32327</v>
      </c>
      <c r="AF129" s="75" t="n">
        <v>1282500</v>
      </c>
      <c r="AG129" s="75" t="n">
        <v>939722</v>
      </c>
      <c r="AH129" s="75" t="n">
        <v>-342778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W5:AX16"/>
  <sheetViews>
    <sheetView showFormulas="false" showGridLines="false" showRowColHeaders="true" showZeros="true" rightToLeft="false" tabSelected="false" showOutlineSymbols="true" defaultGridColor="true" view="normal" topLeftCell="AB1" colorId="64" zoomScale="83" zoomScaleNormal="83" zoomScalePageLayoutView="100" workbookViewId="0">
      <selection pane="topLeft" activeCell="AJ34" activeCellId="0" sqref="AJ34"/>
    </sheetView>
  </sheetViews>
  <sheetFormatPr defaultColWidth="8.66796875" defaultRowHeight="14.25" customHeight="false" zeroHeight="false" outlineLevelRow="0" outlineLevelCol="0"/>
  <cols>
    <col collapsed="false" customWidth="false" hidden="false" outlineLevel="0" max="39" min="1" style="76" width="8.67"/>
    <col collapsed="false" customWidth="true" hidden="false" outlineLevel="0" max="40" min="40" style="76" width="7.77"/>
    <col collapsed="false" customWidth="false" hidden="false" outlineLevel="0" max="46" min="41" style="76" width="8.67"/>
    <col collapsed="false" customWidth="true" hidden="false" outlineLevel="0" max="47" min="47" style="76" width="11.11"/>
    <col collapsed="false" customWidth="true" hidden="false" outlineLevel="0" max="48" min="48" style="76" width="5.88"/>
    <col collapsed="false" customWidth="true" hidden="false" outlineLevel="0" max="49" min="49" style="76" width="13.56"/>
    <col collapsed="false" customWidth="false" hidden="false" outlineLevel="0" max="16384" min="50" style="76" width="8.67"/>
  </cols>
  <sheetData>
    <row r="5" customFormat="false" ht="14.25" hidden="false" customHeight="false" outlineLevel="0" collapsed="false">
      <c r="AW5" s="77" t="s">
        <v>1397</v>
      </c>
      <c r="AX5" s="77"/>
    </row>
    <row r="6" customFormat="false" ht="14.25" hidden="false" customHeight="false" outlineLevel="0" collapsed="false">
      <c r="AW6" s="77"/>
      <c r="AX6" s="77"/>
    </row>
    <row r="7" customFormat="false" ht="14.25" hidden="false" customHeight="false" outlineLevel="0" collapsed="false">
      <c r="AW7" s="77"/>
      <c r="AX7" s="77"/>
    </row>
    <row r="8" customFormat="false" ht="14.25" hidden="false" customHeight="false" outlineLevel="0" collapsed="false">
      <c r="AW8" s="78"/>
      <c r="AX8" s="79"/>
    </row>
    <row r="9" customFormat="false" ht="14.25" hidden="false" customHeight="false" outlineLevel="0" collapsed="false">
      <c r="AW9" s="80" t="e">
        <f aca="false">GETPIVOTDATA("[Measures].[Total Actual Cost]",PivotTables!$J$111)</f>
        <v>#REF!</v>
      </c>
      <c r="AX9" s="80"/>
    </row>
    <row r="10" customFormat="false" ht="14.25" hidden="false" customHeight="false" outlineLevel="0" collapsed="false">
      <c r="AW10" s="80"/>
      <c r="AX10" s="80"/>
    </row>
    <row r="12" customFormat="false" ht="14.25" hidden="false" customHeight="false" outlineLevel="0" collapsed="false">
      <c r="AW12" s="81" t="s">
        <v>1398</v>
      </c>
      <c r="AX12" s="81"/>
    </row>
    <row r="13" customFormat="false" ht="14.25" hidden="false" customHeight="false" outlineLevel="0" collapsed="false">
      <c r="AW13" s="81"/>
      <c r="AX13" s="81"/>
    </row>
    <row r="14" customFormat="false" ht="14.25" hidden="false" customHeight="false" outlineLevel="0" collapsed="false">
      <c r="AW14" s="82" t="n">
        <f aca="false">PQ_Output!AG11</f>
        <v>520759</v>
      </c>
      <c r="AX14" s="82"/>
    </row>
    <row r="15" customFormat="false" ht="14.25" hidden="false" customHeight="false" outlineLevel="0" collapsed="false">
      <c r="AW15" s="82"/>
      <c r="AX15" s="82"/>
    </row>
    <row r="16" customFormat="false" ht="14.25" hidden="false" customHeight="false" outlineLevel="0" collapsed="false">
      <c r="AW16" s="82"/>
      <c r="AX16" s="82"/>
    </row>
  </sheetData>
  <mergeCells count="4">
    <mergeCell ref="AW5:AX7"/>
    <mergeCell ref="AW9:AX10"/>
    <mergeCell ref="AW12:AX13"/>
    <mergeCell ref="AW14:AX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_rels/item5.xml.rels><?xml version="1.0" encoding="UTF-8"?>
<Relationships xmlns="http://schemas.openxmlformats.org/package/2006/relationships"><Relationship Id="rId1" Type="http://schemas.openxmlformats.org/officeDocument/2006/relationships/customXmlProps" Target="itemProps5.xml"/>
</Relationships>
</file>

<file path=customXml/_rels/item6.xml.rels><?xml version="1.0" encoding="UTF-8"?>
<Relationships xmlns="http://schemas.openxmlformats.org/package/2006/relationships"><Relationship Id="rId1" Type="http://schemas.openxmlformats.org/officeDocument/2006/relationships/customXmlProps" Target="itemProps6.xml"/>
</Relationships>
</file>

<file path=customXml/_rels/item7.xml.rels><?xml version="1.0" encoding="UTF-8"?>
<Relationships xmlns="http://schemas.openxmlformats.org/package/2006/relationships"><Relationship Id="rId1" Type="http://schemas.openxmlformats.org/officeDocument/2006/relationships/customXmlProps" Target="itemProps7.xml"/>
</Relationships>
</file>

<file path=customXml/_rels/item8.xml.rels><?xml version="1.0" encoding="UTF-8"?>
<Relationships xmlns="http://schemas.openxmlformats.org/package/2006/relationships"><Relationship Id="rId1" Type="http://schemas.openxmlformats.org/officeDocument/2006/relationships/customXmlProps" Target="itemProps8.xml"/>
</Relationships>
</file>

<file path=customXml/_rels/item9.xml.rels><?xml version="1.0" encoding="UTF-8"?>
<Relationships xmlns="http://schemas.openxmlformats.org/package/2006/relationships"><Relationship Id="rId1" Type="http://schemas.openxmlformats.org/officeDocument/2006/relationships/customXmlProps" Target="itemProps9.xml"/>
</Relationships>
</file>

<file path=customXml/_rels/item10.xml.rels><?xml version="1.0" encoding="UTF-8"?>
<Relationships xmlns="http://schemas.openxmlformats.org/package/2006/relationships"><Relationship Id="rId1" Type="http://schemas.openxmlformats.org/officeDocument/2006/relationships/customXmlProps" Target="itemProps10.xml"/>
</Relationships>
</file>

<file path=customXml/_rels/item11.xml.rels><?xml version="1.0" encoding="UTF-8"?>
<Relationships xmlns="http://schemas.openxmlformats.org/package/2006/relationships"><Relationship Id="rId1" Type="http://schemas.openxmlformats.org/officeDocument/2006/relationships/customXmlProps" Target="itemProps11.xml"/>
</Relationships>
</file>

<file path=customXml/_rels/item12.xml.rels><?xml version="1.0" encoding="UTF-8"?>
<Relationships xmlns="http://schemas.openxmlformats.org/package/2006/relationships"><Relationship Id="rId1" Type="http://schemas.openxmlformats.org/officeDocument/2006/relationships/customXmlProps" Target="itemProps12.xml"/>
</Relationships>
</file>

<file path=customXml/_rels/item13.xml.rels><?xml version="1.0" encoding="UTF-8"?>
<Relationships xmlns="http://schemas.openxmlformats.org/package/2006/relationships"><Relationship Id="rId1" Type="http://schemas.openxmlformats.org/officeDocument/2006/relationships/customXmlProps" Target="itemProps13.xml"/>
</Relationships>
</file>

<file path=customXml/_rels/item14.xml.rels><?xml version="1.0" encoding="UTF-8"?>
<Relationships xmlns="http://schemas.openxmlformats.org/package/2006/relationships"><Relationship Id="rId1" Type="http://schemas.openxmlformats.org/officeDocument/2006/relationships/customXmlProps" Target="itemProps14.xml"/>
</Relationships>
</file>

<file path=customXml/_rels/item15.xml.rels><?xml version="1.0" encoding="UTF-8"?>
<Relationships xmlns="http://schemas.openxmlformats.org/package/2006/relationships"><Relationship Id="rId1" Type="http://schemas.openxmlformats.org/officeDocument/2006/relationships/customXmlProps" Target="itemProps15.xml"/>
</Relationships>
</file>

<file path=customXml/_rels/item16.xml.rels><?xml version="1.0" encoding="UTF-8"?>
<Relationships xmlns="http://schemas.openxmlformats.org/package/2006/relationships"><Relationship Id="rId1" Type="http://schemas.openxmlformats.org/officeDocument/2006/relationships/customXmlProps" Target="itemProps16.xml"/>
</Relationships>
</file>

<file path=customXml/_rels/item17.xml.rels><?xml version="1.0" encoding="UTF-8"?>
<Relationships xmlns="http://schemas.openxmlformats.org/package/2006/relationships"><Relationship Id="rId1" Type="http://schemas.openxmlformats.org/officeDocument/2006/relationships/customXmlProps" Target="itemProps17.xml"/>
</Relationships>
</file>

<file path=customXml/_rels/item18.xml.rels><?xml version="1.0" encoding="UTF-8"?>
<Relationships xmlns="http://schemas.openxmlformats.org/package/2006/relationships"><Relationship Id="rId1" Type="http://schemas.openxmlformats.org/officeDocument/2006/relationships/customXmlProps" Target="itemProps18.xml"/>
</Relationships>
</file>

<file path=customXml/_rels/item19.xml.rels><?xml version="1.0" encoding="UTF-8"?>
<Relationships xmlns="http://schemas.openxmlformats.org/package/2006/relationships"><Relationship Id="rId1" Type="http://schemas.openxmlformats.org/officeDocument/2006/relationships/customXmlProps" Target="itemProps19.xml"/>
</Relationships>
</file>

<file path=customXml/_rels/item20.xml.rels><?xml version="1.0" encoding="UTF-8"?>
<Relationships xmlns="http://schemas.openxmlformats.org/package/2006/relationships"><Relationship Id="rId1" Type="http://schemas.openxmlformats.org/officeDocument/2006/relationships/customXmlProps" Target="itemProps20.xml"/>
</Relationships>
</file>

<file path=customXml/_rels/item21.xml.rels><?xml version="1.0" encoding="UTF-8"?>
<Relationships xmlns="http://schemas.openxmlformats.org/package/2006/relationships"><Relationship Id="rId1" Type="http://schemas.openxmlformats.org/officeDocument/2006/relationships/customXmlProps" Target="itemProps21.xml"/>
</Relationships>
</file>

<file path=customXml/_rels/item22.xml.rels><?xml version="1.0" encoding="UTF-8"?>
<Relationships xmlns="http://schemas.openxmlformats.org/package/2006/relationships"><Relationship Id="rId1" Type="http://schemas.openxmlformats.org/officeDocument/2006/relationships/customXmlProps" Target="itemProps22.xml"/>
</Relationships>
</file>

<file path=customXml/_rels/item23.xml.rels><?xml version="1.0" encoding="UTF-8"?>
<Relationships xmlns="http://schemas.openxmlformats.org/package/2006/relationships"><Relationship Id="rId1" Type="http://schemas.openxmlformats.org/officeDocument/2006/relationships/customXmlProps" Target="itemProps23.xml"/>
</Relationships>
</file>

<file path=customXml/item1.xml><?xml version="1.0" encoding="utf-8"?>
<Gemini xmlns="http://gemini/pivotcustomization/ShowHidden">
  <CustomContent><![CDATA[True]]></CustomContent>
</Gemini>
</file>

<file path=customXml/item2.xml><?xml version="1.0" encoding="utf-8"?>
<Gemini xmlns="http://gemini/pivotcustomization/TableXML_tbl_Tasks_Clean">
  <CustomContent><![CDATA[<TableWidgetGridSerialization xmlns:xsd="http://www.w3.org/2001/XMLSchema" xmlns:xsi="http://www.w3.org/2001/XMLSchema-instance"><ColumnSuggestedType /><ColumnFormat /><ColumnAccuracy /><ColumnCurrencySymbol /><ColumnPositivePattern /><ColumnNegativePattern /><ColumnWidths><item><key><string>Task_ID</string></key><value><int>108</int></value></item><item><key><string>Project_ID</string></key><value><int>305</int></value></item><item><key><string>Project_Name</string></key><value><int>160</int></value></item><item><key><string>Task_Name</string></key><value><int>142</int></value></item><item><key><string>Department</string></key><value><int>138</int></value></item><item><key><string>Assigned_To</string></key><value><int>153</int></value></item><item><key><string>Priority</string></key><value><int>97</int></value></item><item><key><string>Status</string></key><value><int>91</int></value></item><item><key><string>Start_Date</string></key><value><int>125</int></value></item><item><key><string>Planned_End_Date</string></key><value><int>204</int></value></item><item><key><string>Actual_End_Date</string></key><value><int>186</int></value></item><item><key><string>Planned_Cost</string></key><value><int>158</int></value></item><item><key><string>Actual_Cost</string></key><value><int>140</int></value></item><item><key><string>Planned_Duration_Days</string></key><value><int>242</int></value></item><item><key><string>Delay_Days</string></key><value><int>139</int></value></item><item><key><string>Client</string></key><value><int>88</int></value></item><item><key><string>Project_Manager</string></key><value><int>184</int></value></item><item><key><string>Start_Date.1</string></key><value><int>140</int></value></item><item><key><string>Budget</string></key><value><int>101</int></value></item><item><key><string>Employee_ID</string></key><value><int>154</int></value></item><item><key><string>Role</string></key><value><int>80</int></value></item><item><key><string>Hourly_Rate</string></key><value><int>144</int></value></item><item><key><string>Cost_Variance</string></key><value><int>163</int></value></item><item><key><string>Cost_Variance_%</string></key><value><int>188</int></value></item><item><key><string>On_Time_Flag</string></key><value><int>167</int></value></item><item><key><string>Task_Age_Category</string></key><value><int>211</int></value></item><item><key><string>Manager_Lookup</string></key><value><int>189</int></value></item></ColumnWidths><ColumnDisplayIndex><item><key><string>Task_ID</string></key><value><int>0</int></value></item><item><key><string>Project_ID</string></key><value><int>1</int></value></item><item><key><string>Project_Name</string></key><value><int>2</int></value></item><item><key><string>Task_Name</string></key><value><int>3</int></value></item><item><key><string>Department</string></key><value><int>4</int></value></item><item><key><string>Assigned_To</string></key><value><int>5</int></value></item><item><key><string>Priority</string></key><value><int>6</int></value></item><item><key><string>Status</string></key><value><int>7</int></value></item><item><key><string>Start_Date</string></key><value><int>8</int></value></item><item><key><string>Planned_End_Date</string></key><value><int>9</int></value></item><item><key><string>Actual_End_Date</string></key><value><int>10</int></value></item><item><key><string>Planned_Cost</string></key><value><int>11</int></value></item><item><key><string>Actual_Cost</string></key><value><int>12</int></value></item><item><key><string>Planned_Duration_Days</string></key><value><int>13</int></value></item><item><key><string>Delay_Days</string></key><value><int>14</int></value></item><item><key><string>Client</string></key><value><int>15</int></value></item><item><key><string>Project_Manager</string></key><value><int>16</int></value></item><item><key><string>Start_Date.1</string></key><value><int>17</int></value></item><item><key><string>Budget</string></key><value><int>18</int></value></item><item><key><string>Employee_ID</string></key><value><int>19</int></value></item><item><key><string>Role</string></key><value><int>20</int></value></item><item><key><string>Hourly_Rate</string></key><value><int>21</int></value></item><item><key><string>Cost_Variance</string></key><value><int>22</int></value></item><item><key><string>Cost_Variance_%</string></key><value><int>23</int></value></item><item><key><string>On_Time_Flag</string></key><value><int>24</int></value></item><item><key><string>Task_Age_Category</string></key><value><int>25</int></value></item><item><key><string>Manager_Lookup</string></key><value><int>26</int></value></item></ColumnDisplayIndex><ColumnFrozen /><ColumnChecked /><ColumnFilter /><SelectionFilter /><FilterParameters /><IsSortDescending>false</IsSortDescending></TableWidgetGridSerialization>]]></CustomContent>
</Gemini>
</file>

<file path=customXml/item3.xml><?xml version="1.0" encoding="utf-8"?>
<Gemini xmlns="http://gemini/pivotcustomization/TableXML_Tasks_RawData">
  <CustomContent><![CDATA[<TableWidgetGridSerialization xmlns:xsd="http://www.w3.org/2001/XMLSchema" xmlns:xsi="http://www.w3.org/2001/XMLSchema-instance"><ColumnSuggestedType /><ColumnFormat /><ColumnAccuracy /><ColumnCurrencySymbol /><ColumnPositivePattern /><ColumnNegativePattern /><ColumnWidths><item><key><string>Task_ID</string></key><value><int>108</int></value></item><item><key><string>Project_ID</string></key><value><int>126</int></value></item><item><key><string>Project_Name</string></key><value><int>160</int></value></item><item><key><string>Task_Name</string></key><value><int>142</int></value></item><item><key><string>Department</string></key><value><int>138</int></value></item><item><key><string>Assigned_To</string></key><value><int>153</int></value></item><item><key><string>Priority</string></key><value><int>97</int></value></item><item><key><string>Status</string></key><value><int>91</int></value></item><item><key><string>Start_Date</string></key><value><int>125</int></value></item><item><key><string>Planned_End_Date</string></key><value><int>204</int></value></item><item><key><string>Actual_End_Date</string></key><value><int>186</int></value></item><item><key><string>Planned_Cost</string></key><value><int>158</int></value></item><item><key><string>Actual_Cost</string></key><value><int>140</int></value></item></ColumnWidths><ColumnDisplayIndex><item><key><string>Task_ID</string></key><value><int>0</int></value></item><item><key><string>Project_ID</string></key><value><int>1</int></value></item><item><key><string>Project_Name</string></key><value><int>2</int></value></item><item><key><string>Task_Name</string></key><value><int>3</int></value></item><item><key><string>Department</string></key><value><int>4</int></value></item><item><key><string>Assigned_To</string></key><value><int>5</int></value></item><item><key><string>Priority</string></key><value><int>6</int></value></item><item><key><string>Status</string></key><value><int>7</int></value></item><item><key><string>Start_Date</string></key><value><int>8</int></value></item><item><key><string>Planned_End_Date</string></key><value><int>9</int></value></item><item><key><string>Actual_End_Date</string></key><value><int>10</int></value></item><item><key><string>Planned_Cost</string></key><value><int>11</int></value></item><item><key><string>Actual_Cost</string></key><value><int>12</int></value></item></ColumnDisplayIndex><ColumnFrozen /><ColumnChecked /><ColumnFilter /><SelectionFilter /><FilterParameters /><IsSortDescending>false</IsSortDescending></TableWidgetGridSerialization>]]></CustomContent>
</Gemini>
</file>

<file path=customXml/item4.xml><?xml version="1.0" encoding="utf-8"?>
<Gemini xmlns="http://gemini/pivotcustomization/cede4f47-38a1-4649-8c63-e563eecc3f5f">
  <CustomContent><![CDATA[<?xml version="1.0" encoding="utf-16"?><Settings><CalculatedFields><item><MeasureName>Total Planned Cost</MeasureName><DisplayName>Total Planned Cost</DisplayName><Visible>False</Visible></item><item><MeasureName>Total Actual Cost</MeasureName><DisplayName>Total Actual Cost</DisplayName><Visible>False</Visible></item><item><MeasureName>Cost Variance</MeasureName><DisplayName>Cost Variance</DisplayName><Visible>False</Visible></item></CalculatedFields><SAHostHash>0</SAHostHash><GeminiFieldListVisible>True</GeminiFieldListVisible></Settings>]]></CustomContent>
</Gemini>
</file>

<file path=customXml/item5.xml><?xml version="1.0" encoding="utf-8"?>
<Gemini xmlns="http://gemini/pivotcustomization/Diagrams">
  <CustomContent><![CDATA[<ArrayOfDiagramManager.SerializableDiagram xmlns="http://schemas.datacontract.org/2004/07/Microsoft.AnalysisServices.Common" xmlns:i="http://www.w3.org/2001/XMLSchema-instance"><DiagramManager.SerializableDiagram><Adapter i:type="MeasureDiagramSandboxAdapter"><TableName>tbl_Employees</TableName></Adapter><DiagramType>MeasureDiagram</DiagramType><DisplayContext i:type="MeasureGridDisplayContext"><ColumnTagKey><Key>Static Tags\Column</Key></ColumnTagKey><ErrorsTagGroupKey><Key>TagGroups\Errors</Key></ErrorsTagGroupKey><FormulaTagKey><Key>Static Tags\Formula</Key></FormulaTagKey><HiddenTagKey><Key>Static Tags\Hidden</Key></HiddenTagKey><HostType>ModelerWindow</HostType><ImplicitMeasureSourceColumnLinkTagKey><Key>Static Tags\Implicit Measure and Source Column Link</Key></ImplicitMeasureSourceColumnLinkTagKey><ImplicitMeasureTagKey><Key>Static Tags\Is implicit measure</Key></ImplicitMeasureTagKey><KpiTagKey><Key>Static Tags\KPI</Key></KpiTagKey><MeasureTagKey><Key>Static Tags\Measure</Key></MeasureTagKey><ValueTagKey><Key>Static Tags\Value</Key></ValueTagKey></DisplayContext><DisplayType>MeasureGrid</DisplayType><Key i:type="SandboxEditorMeasureGridKey"><TableName>tbl_Employees</TableName></Key><Maintainer i:type="MeasureDiagram.MeasureDiagramMaintainer"><AllKeys><DiagramObjectKey><Key>Measure Diagram</Key></DiagramObjectKey><DiagramObjectKey><Key>Actions\Delete</Key></DiagramObjectKey><DiagramObjectKey><Key>Actions\Convert to KPI</Key></DiagramObjectKey><DiagramObjectKey><Key>Actions\Edit KPI</Key></DiagramObjectKey><DiagramObjectKey><Key>Actions\Remove KPI</Key></DiagramObjectKey><DiagramObjectKey><Key>Actions\Copy Measure</Key></DiagramObjectKey><DiagramObjectKey><Key>Actions\AutoMeasure_Sum</Key></DiagramObjectKey><DiagramObjectKey><Key>Actions\AutoMeasure_Count</Key></DiagramObjectKey><DiagramObjectKey><Key>Actions\AutoMeasure_Average</Key></DiagramObjectKey><DiagramObjectKey><Key>Actions\AutoMeasure_Max</Key></DiagramObjectKey><DiagramObjectKey><Key>Actions\AutoMeasure_Min</Key></DiagramObjectKey><DiagramObjectKey><Key>Actions\AutoMeasure_StdDev</Key></DiagramObjectKey><DiagramObjectKey><Key>Actions\AutoMeasure_StdDevp</Key></DiagramObjectKey><DiagramObjectKey><Key>Actions\AutoMeasure_Var</Key></DiagramObjectKey><DiagramObjectKey><Key>Actions\AutoMeasure_Varp</Key></DiagramObjectKey><DiagramObjectKey><Key>Actions\AutoMeasure_DistinctCount</Key></DiagramObjectKey><DiagramObjectKey><Key>Actions\Edit</Key></DiagramObjectKey><DiagramObjectKey><Key>Actions\Create</Key></DiagramObjectKey><DiagramObjectKey><Key>Actions\Format</Key></DiagramObjectKey><DiagramObjectKey><Key>Actions\Edit Description</Key></DiagramObjectKey><DiagramObjectKey><Key>Actions\Hide Measures</Key></DiagramObjectKey><DiagramObjectKey><Key>Actions\Unhide Measures</Key></DiagramObjectKey><DiagramObjectKey><Key>TagGroups\Types</Key></DiagramObjectKey><DiagramObjectKey><Key>TagGroups\Link Types</Key></DiagramObjectKey><DiagramObjectKey><Key>TagGroups\KPI</Key></DiagramObjectKey><DiagramObjectKey><Key>TagGroups\Errors</Key></DiagramObjectKey><DiagramObjectKey><Key>TagGroups\Values and Formulas</Key></DiagramObjectKey><DiagramObjectKey><Key>TagGroups\State</Key></DiagramObjectKey><DiagramObjectKey><Key>Static Tags\Column</Key></DiagramObjectKey><DiagramObjectKey><Key>Static Tags\Measure</Key></DiagramObjectKey><DiagramObjectKey><Key>Static Tags\Implicit Measure and Source Column Link</Key></DiagramObjectKey><DiagramObjectKey><Key>Static Tags\KPI</Key></DiagramObjectKey><DiagramObjectKey><Key>Static Tags\Semantic Error</Key></DiagramObjectKey><DiagramObjectKey><Key>Static Tags\Calculation Error</Key></DiagramObjectKey><DiagramObjectKey><Key>Static Tags\Value</Key></DiagramObjectKey><DiagramObjectKey><Key>Static Tags\Formula</Key></DiagramObjectKey><DiagramObjectKey><Key>Static Tags\Evaluation in progress</Key></DiagramObjectKey><DiagramObjectKey><Key>Static Tags\Is implicit measure</Key></DiagramObjectKey><DiagramObjectKey><Key>Static Tags\Hidden</Key></DiagramObjectKey><DiagramObjectKey><Key>Static Tags\Not in perspective</Key></DiagramObjectKey><DiagramObjectKey><Key>Static Tags\Is readonly</Key></DiagramObjectKey><DiagramObjectKey><Key>Columns\Employee_ID</Key></DiagramObjectKey><DiagramObjectKey><Key>Columns\Employee_Name</Key></DiagramObjectKey><DiagramObjectKey><Key>Columns\Department</Key></DiagramObjectKey><DiagramObjectKey><Key>Columns\Role</Key></DiagramObjectKey><DiagramObjectKey><Key>Columns\Hourly_Rate</Key></DiagramObjectKey></AllKeys><SelectedKeys/></Maintainer><ViewStateFactoryType>Microsoft.AnalysisServices.Common.MeasureGridViewStateFactory</ViewStateFactoryType><ViewStates xmlns:a="http://schemas.microsoft.com/2003/10/Serialization/Arrays"><a:KeyValueOfDiagramObjectKeyanyTypezbwNTnLX><a:Key><Key>Measure Diagram</Key></a:Key><a:Value i:type="MeasureGridDiagramViewState"><FocusRow>6</FocusRow><SelectionEndRow>6</SelectionEndRow><SelectionStartRow>6</SelectionStartRow><Texts/></a:Value></a:KeyValueOfDiagramObjectKeyanyTypezbwNTnLX><a:KeyValueOfDiagramObjectKeyanyTypezbwNTnLX><a:Key><Key>Actions\Delete</Key></a:Key><a:Value i:type="MeasureGridViewStateIDiagramAction"/></a:KeyValueOfDiagramObjectKeyanyTypezbwNTnLX><a:KeyValueOfDiagramObjectKeyanyTypezbwNTnLX><a:Key><Key>Actions\Convert to KPI</Key></a:Key><a:Value i:type="MeasureGridViewStateIDiagramAction"/></a:KeyValueOfDiagramObjectKeyanyTypezbwNTnLX><a:KeyValueOfDiagramObjectKeyanyTypezbwNTnLX><a:Key><Key>Actions\Edit KPI</Key></a:Key><a:Value i:type="MeasureGridViewStateIDiagramAction"/></a:KeyValueOfDiagramObjectKeyanyTypezbwNTnLX><a:KeyValueOfDiagramObjectKeyanyTypezbwNTnLX><a:Key><Key>Actions\Remove KPI</Key></a:Key><a:Value i:type="MeasureGridViewStateIDiagramAction"/></a:KeyValueOfDiagramObjectKeyanyTypezbwNTnLX><a:KeyValueOfDiagramObjectKeyanyTypezbwNTnLX><a:Key><Key>Actions\Copy Measure</Key></a:Key><a:Value i:type="MeasureGridViewStateIDiagramAction"/></a:KeyValueOfDiagramObjectKeyanyTypezbwNTnLX><a:KeyValueOfDiagramObjectKeyanyTypezbwNTnLX><a:Key><Key>Actions\AutoMeasure_Sum</Key></a:Key><a:Value i:type="MeasureGridViewStateIDiagramAction"/></a:KeyValueOfDiagramObjectKeyanyTypezbwNTnLX><a:KeyValueOfDiagramObjectKeyanyTypezbwNTnLX><a:Key><Key>Actions\AutoMeasure_Count</Key></a:Key><a:Value i:type="MeasureGridViewStateIDiagramAction"/></a:KeyValueOfDiagramObjectKeyanyTypezbwNTnLX><a:KeyValueOfDiagramObjectKeyanyTypezbwNTnLX><a:Key><Key>Actions\AutoMeasure_Average</Key></a:Key><a:Value i:type="MeasureGridViewStateIDiagramAction"/></a:KeyValueOfDiagramObjectKeyanyTypezbwNTnLX><a:KeyValueOfDiagramObjectKeyanyTypezbwNTnLX><a:Key><Key>Actions\AutoMeasure_Max</Key></a:Key><a:Value i:type="MeasureGridViewStateIDiagramAction"/></a:KeyValueOfDiagramObjectKeyanyTypezbwNTnLX><a:KeyValueOfDiagramObjectKeyanyTypezbwNTnLX><a:Key><Key>Actions\AutoMeasure_Min</Key></a:Key><a:Value i:type="MeasureGridViewStateIDiagramAction"/></a:KeyValueOfDiagramObjectKeyanyTypezbwNTnLX><a:KeyValueOfDiagramObjectKeyanyTypezbwNTnLX><a:Key><Key>Actions\AutoMeasure_StdDev</Key></a:Key><a:Value i:type="MeasureGridViewStateIDiagramAction"/></a:KeyValueOfDiagramObjectKeyanyTypezbwNTnLX><a:KeyValueOfDiagramObjectKeyanyTypezbwNTnLX><a:Key><Key>Actions\AutoMeasure_StdDevp</Key></a:Key><a:Value i:type="MeasureGridViewStateIDiagramAction"/></a:KeyValueOfDiagramObjectKeyanyTypezbwNTnLX><a:KeyValueOfDiagramObjectKeyanyTypezbwNTnLX><a:Key><Key>Actions\AutoMeasure_Var</Key></a:Key><a:Value i:type="MeasureGridViewStateIDiagramAction"/></a:KeyValueOfDiagramObjectKeyanyTypezbwNTnLX><a:KeyValueOfDiagramObjectKeyanyTypezbwNTnLX><a:Key><Key>Actions\AutoMeasure_Varp</Key></a:Key><a:Value i:type="MeasureGridViewStateIDiagramAction"/></a:KeyValueOfDiagramObjectKeyanyTypezbwNTnLX><a:KeyValueOfDiagramObjectKeyanyTypezbwNTnLX><a:Key><Key>Actions\AutoMeasure_DistinctCount</Key></a:Key><a:Value i:type="MeasureGridViewStateIDiagramAction"/></a:KeyValueOfDiagramObjectKeyanyTypezbwNTnLX><a:KeyValueOfDiagramObjectKeyanyTypezbwNTnLX><a:Key><Key>Actions\Edit</Key></a:Key><a:Value i:type="MeasureGridViewStateIDiagramAction"/></a:KeyValueOfDiagramObjectKeyanyTypezbwNTnLX><a:KeyValueOfDiagramObjectKeyanyTypezbwNTnLX><a:Key><Key>Actions\Create</Key></a:Key><a:Value i:type="MeasureGridViewStateIDiagramAction"/></a:KeyValueOfDiagramObjectKeyanyTypezbwNTnLX><a:KeyValueOfDiagramObjectKeyanyTypezbwNTnLX><a:Key><Key>Actions\Format</Key></a:Key><a:Value i:type="MeasureGridViewStateIDiagramAction"/></a:KeyValueOfDiagramObjectKeyanyTypezbwNTnLX><a:KeyValueOfDiagramObjectKeyanyTypezbwNTnLX><a:Key><Key>Actions\Edit Description</Key></a:Key><a:Value i:type="MeasureGridViewStateIDiagramAction"/></a:KeyValueOfDiagramObjectKeyanyTypezbwNTnLX><a:KeyValueOfDiagramObjectKeyanyTypezbwNTnLX><a:Key><Key>Actions\Hide Measures</Key></a:Key><a:Value i:type="MeasureGridViewStateIDiagramAction"/></a:KeyValueOfDiagramObjectKeyanyTypezbwNTnLX><a:KeyValueOfDiagramObjectKeyanyTypezbwNTnLX><a:Key><Key>Actions\Unhide Measures</Key></a:Key><a:Value i:type="MeasureGridViewStateIDiagramAction"/></a:KeyValueOfDiagramObjectKeyanyTypezbwNTnLX><a:KeyValueOfDiagramObjectKeyanyTypezbwNTnLX><a:Key><Key>TagGroups\Types</Key></a:Key><a:Value i:type="MeasureGridViewStateIDiagramTagGroup"/></a:KeyValueOfDiagramObjectKeyanyTypezbwNTnLX><a:KeyValueOfDiagramObjectKeyanyTypezbwNTnLX><a:Key><Key>TagGroups\Link Types</Key></a:Key><a:Value i:type="MeasureGridViewStateIDiagramTagGroup"/></a:KeyValueOfDiagramObjectKeyanyTypezbwNTnLX><a:KeyValueOfDiagramObjectKeyanyTypezbwNTnLX><a:Key><Key>TagGroups\KPI</Key></a:Key><a:Value i:type="MeasureGridViewStateIDiagramTagGroup"/></a:KeyValueOfDiagramObjectKeyanyTypezbwNTnLX><a:KeyValueOfDiagramObjectKeyanyTypezbwNTnLX><a:Key><Key>TagGroups\Errors</Key></a:Key><a:Value i:type="MeasureGridViewStateIDiagramTagGroup"/></a:KeyValueOfDiagramObjectKeyanyTypezbwNTnLX><a:KeyValueOfDiagramObjectKeyanyTypezbwNTnLX><a:Key><Key>TagGroups\Values and Formulas</Key></a:Key><a:Value i:type="MeasureGridViewStateIDiagramTagGroup"/></a:KeyValueOfDiagramObjectKeyanyTypezbwNTnLX><a:KeyValueOfDiagramObjectKeyanyTypezbwNTnLX><a:Key><Key>TagGroups\State</Key></a:Key><a:Value i:type="MeasureGridViewStateIDiagramTagGroup"/></a:KeyValueOfDiagramObjectKeyanyTypezbwNTnLX><a:KeyValueOfDiagramObjectKeyanyTypezbwNTnLX><a:Key><Key>Static Tags\Column</Key></a:Key><a:Value i:type="MeasureGridViewStateIDiagramTag"/></a:KeyValueOfDiagramObjectKeyanyTypezbwNTnLX><a:KeyValueOfDiagramObjectKeyanyTypezbwNTnLX><a:Key><Key>Static Tags\Measure</Key></a:Key><a:Value i:type="MeasureGridViewStateIDiagramTag"/></a:KeyValueOfDiagramObjectKeyanyTypezbwNTnLX><a:KeyValueOfDiagramObjectKeyanyTypezbwNTnLX><a:Key><Key>Static Tags\Implicit Measure and Source Column Link</Key></a:Key><a:Value i:type="MeasureGridViewStateIDiagramTag"/></a:KeyValueOfDiagramObjectKeyanyTypezbwNTnLX><a:KeyValueOfDiagramObjectKeyanyTypezbwNTnLX><a:Key><Key>Static Tags\KPI</Key></a:Key><a:Value i:type="MeasureGridViewStateIDiagramTag"/></a:KeyValueOfDiagramObjectKeyanyTypezbwNTnLX><a:KeyValueOfDiagramObjectKeyanyTypezbwNTnLX><a:Key><Key>Static Tags\Semantic Error</Key></a:Key><a:Value i:type="MeasureGridViewStateIDiagramTag"/></a:KeyValueOfDiagramObjectKeyanyTypezbwNTnLX><a:KeyValueOfDiagramObjectKeyanyTypezbwNTnLX><a:Key><Key>Static Tags\Calculation Error</Key></a:Key><a:Value i:type="MeasureGridViewStateIDiagramTag"/></a:KeyValueOfDiagramObjectKeyanyTypezbwNTnLX><a:KeyValueOfDiagramObjectKeyanyTypezbwNTnLX><a:Key><Key>Static Tags\Value</Key></a:Key><a:Value i:type="MeasureGridViewStateIDiagramTag"/></a:KeyValueOfDiagramObjectKeyanyTypezbwNTnLX><a:KeyValueOfDiagramObjectKeyanyTypezbwNTnLX><a:Key><Key>Static Tags\Formula</Key></a:Key><a:Value i:type="MeasureGridViewStateIDiagramTag"/></a:KeyValueOfDiagramObjectKeyanyTypezbwNTnLX><a:KeyValueOfDiagramObjectKeyanyTypezbwNTnLX><a:Key><Key>Static Tags\Evaluation in progress</Key></a:Key><a:Value i:type="MeasureGridViewStateIDiagramTag"/></a:KeyValueOfDiagramObjectKeyanyTypezbwNTnLX><a:KeyValueOfDiagramObjectKeyanyTypezbwNTnLX><a:Key><Key>Static Tags\Is implicit measure</Key></a:Key><a:Value i:type="MeasureGridViewStateIDiagramTag"/></a:KeyValueOfDiagramObjectKeyanyTypezbwNTnLX><a:KeyValueOfDiagramObjectKeyanyTypezbwNTnLX><a:Key><Key>Static Tags\Hidden</Key></a:Key><a:Value i:type="MeasureGridViewStateIDiagramTag"/></a:KeyValueOfDiagramObjectKeyanyTypezbwNTnLX><a:KeyValueOfDiagramObjectKeyanyTypezbwNTnLX><a:Key><Key>Static Tags\Not in perspective</Key></a:Key><a:Value i:type="MeasureGridViewStateIDiagramTag"/></a:KeyValueOfDiagramObjectKeyanyTypezbwNTnLX><a:KeyValueOfDiagramObjectKeyanyTypezbwNTnLX><a:Key><Key>Static Tags\Is readonly</Key></a:Key><a:Value i:type="MeasureGridViewStateIDiagramTag"/></a:KeyValueOfDiagramObjectKeyanyTypezbwNTnLX><a:KeyValueOfDiagramObjectKeyanyTypezbwNTnLX><a:Key><Key>Columns\Employee_ID</Key></a:Key><a:Value i:type="MeasureGridNodeViewState"><LayedOut>true</LayedOut></a:Value></a:KeyValueOfDiagramObjectKeyanyTypezbwNTnLX><a:KeyValueOfDiagramObjectKeyanyTypezbwNTnLX><a:Key><Key>Columns\Employee_Name</Key></a:Key><a:Value i:type="MeasureGridNodeViewState"><Column>1</Column><LayedOut>true</LayedOut></a:Value></a:KeyValueOfDiagramObjectKeyanyTypezbwNTnLX><a:KeyValueOfDiagramObjectKeyanyTypezbwNTnLX><a:Key><Key>Columns\Department</Key></a:Key><a:Value i:type="MeasureGridNodeViewState"><Column>2</Column><LayedOut>true</LayedOut></a:Value></a:KeyValueOfDiagramObjectKeyanyTypezbwNTnLX><a:KeyValueOfDiagramObjectKeyanyTypezbwNTnLX><a:Key><Key>Columns\Role</Key></a:Key><a:Value i:type="MeasureGridNodeViewState"><Column>3</Column><LayedOut>true</LayedOut></a:Value></a:KeyValueOfDiagramObjectKeyanyTypezbwNTnLX><a:KeyValueOfDiagramObjectKeyanyTypezbwNTnLX><a:Key><Key>Columns\Hourly_Rate</Key></a:Key><a:Value i:type="MeasureGridNodeViewState"><Column>4</Column><LayedOut>true</LayedOut></a:Value></a:KeyValueOfDiagramObjectKeyanyTypezbwNTnLX></ViewStates></DiagramManager.SerializableDiagram><DiagramManager.SerializableDiagram><Adapter i:type="MeasureDiagramSandboxAdapter"><TableName>tbl_Projects</TableName></Adapter><DiagramType>MeasureDiagram</DiagramType><DisplayContext i:type="MeasureGridDisplayContext"><ColumnTagKey><Key>Static Tags\Column</Key></ColumnTagKey><ErrorsTagGroupKey><Key>TagGroups\Errors</Key></ErrorsTagGroupKey><FormulaTagKey><Key>Static Tags\Formula</Key></FormulaTagKey><HiddenTagKey><Key>Static Tags\Hidden</Key></HiddenTagKey><HostType>ModelerWindow</HostType><ImplicitMeasureSourceColumnLinkTagKey><Key>Static Tags\Implicit Measure and Source Column Link</Key></ImplicitMeasureSourceColumnLinkTagKey><ImplicitMeasureTagKey><Key>Static Tags\Is implicit measure</Key></ImplicitMeasureTagKey><KpiTagKey><Key>Static Tags\KPI</Key></KpiTagKey><MeasureTagKey><Key>Static Tags\Measure</Key></MeasureTagKey><ValueTagKey><Key>Static Tags\Value</Key></ValueTagKey></DisplayContext><DisplayType>MeasureGrid</DisplayType><Key i:type="SandboxEditorMeasureGridKey"><TableName>tbl_Projects</TableName></Key><Maintainer i:type="MeasureDiagram.MeasureDiagramMaintainer"><AllKeys><DiagramObjectKey><Key>Measure Diagram</Key></DiagramObjectKey><DiagramObjectKey><Key>Actions\Delete</Key></DiagramObjectKey><DiagramObjectKey><Key>Actions\Convert to KPI</Key></DiagramObjectKey><DiagramObjectKey><Key>Actions\Edit KPI</Key></DiagramObjectKey><DiagramObjectKey><Key>Actions\Remove KPI</Key></DiagramObjectKey><DiagramObjectKey><Key>Actions\Copy Measure</Key></DiagramObjectKey><DiagramObjectKey><Key>Actions\AutoMeasure_Sum</Key></DiagramObjectKey><DiagramObjectKey><Key>Actions\AutoMeasure_Count</Key></DiagramObjectKey><DiagramObjectKey><Key>Actions\AutoMeasure_Average</Key></DiagramObjectKey><DiagramObjectKey><Key>Actions\AutoMeasure_Max</Key></DiagramObjectKey><DiagramObjectKey><Key>Actions\AutoMeasure_Min</Key></DiagramObjectKey><DiagramObjectKey><Key>Actions\AutoMeasure_StdDev</Key></DiagramObjectKey><DiagramObjectKey><Key>Actions\AutoMeasure_StdDevp</Key></DiagramObjectKey><DiagramObjectKey><Key>Actions\AutoMeasure_Var</Key></DiagramObjectKey><DiagramObjectKey><Key>Actions\AutoMeasure_Varp</Key></DiagramObjectKey><DiagramObjectKey><Key>Actions\AutoMeasure_DistinctCount</Key></DiagramObjectKey><DiagramObjectKey><Key>Actions\Edit</Key></DiagramObjectKey><DiagramObjectKey><Key>Actions\Create</Key></DiagramObjectKey><DiagramObjectKey><Key>Actions\Format</Key></DiagramObjectKey><DiagramObjectKey><Key>Actions\Edit Description</Key></DiagramObjectKey><DiagramObjectKey><Key>Actions\Hide Measures</Key></DiagramObjectKey><DiagramObjectKey><Key>Actions\Unhide Measures</Key></DiagramObjectKey><DiagramObjectKey><Key>TagGroups\Types</Key></DiagramObjectKey><DiagramObjectKey><Key>TagGroups\Link Types</Key></DiagramObjectKey><DiagramObjectKey><Key>TagGroups\KPI</Key></DiagramObjectKey><DiagramObjectKey><Key>TagGroups\Errors</Key></DiagramObjectKey><DiagramObjectKey><Key>TagGroups\Values and Formulas</Key></DiagramObjectKey><DiagramObjectKey><Key>TagGroups\State</Key></DiagramObjectKey><DiagramObjectKey><Key>Static Tags\Column</Key></DiagramObjectKey><DiagramObjectKey><Key>Static Tags\Measure</Key></DiagramObjectKey><DiagramObjectKey><Key>Static Tags\Implicit Measure and Source Column Link</Key></DiagramObjectKey><DiagramObjectKey><Key>Static Tags\KPI</Key></DiagramObjectKey><DiagramObjectKey><Key>Static Tags\Semantic Error</Key></DiagramObjectKey><DiagramObjectKey><Key>Static Tags\Calculation Error</Key></DiagramObjectKey><DiagramObjectKey><Key>Static Tags\Value</Key></DiagramObjectKey><DiagramObjectKey><Key>Static Tags\Formula</Key></DiagramObjectKey><DiagramObjectKey><Key>Static Tags\Evaluation in progress</Key></DiagramObjectKey><DiagramObjectKey><Key>Static Tags\Is implicit measure</Key></DiagramObjectKey><DiagramObjectKey><Key>Static Tags\Hidden</Key></DiagramObjectKey><DiagramObjectKey><Key>Static Tags\Not in perspective</Key></DiagramObjectKey><DiagramObjectKey><Key>Static Tags\Is readonly</Key></DiagramObjectKey><DiagramObjectKey><Key>Columns\Project_ID</Key></DiagramObjectKey><DiagramObjectKey><Key>Columns\Project_Name</Key></DiagramObjectKey><DiagramObjectKey><Key>Columns\Client</Key></DiagramObjectKey><DiagramObjectKey><Key>Columns\Project_Manager</Key></DiagramObjectKey><DiagramObjectKey><Key>Columns\Start_Date</Key></DiagramObjectKey><DiagramObjectKey><Key>Columns\Budget</Key></DiagramObjectKey></AllKeys><SelectedKeys/></Maintainer><ViewStateFactoryType>Microsoft.AnalysisServices.Common.MeasureGridViewStateFactory</ViewStateFactoryType><ViewStates xmlns:a="http://schemas.microsoft.com/2003/10/Serialization/Arrays"><a:KeyValueOfDiagramObjectKeyanyTypezbwNTnLX><a:Key><Key>Measure Diagram</Key></a:Key><a:Value i:type="MeasureGridDiagramViewState"><Texts/></a:Value></a:KeyValueOfDiagramObjectKeyanyTypezbwNTnLX><a:KeyValueOfDiagramObjectKeyanyTypezbwNTnLX><a:Key><Key>Actions\Delete</Key></a:Key><a:Value i:type="MeasureGridViewStateIDiagramAction"/></a:KeyValueOfDiagramObjectKeyanyTypezbwNTnLX><a:KeyValueOfDiagramObjectKeyanyTypezbwNTnLX><a:Key><Key>Actions\Convert to KPI</Key></a:Key><a:Value i:type="MeasureGridViewStateIDiagramAction"/></a:KeyValueOfDiagramObjectKeyanyTypezbwNTnLX><a:KeyValueOfDiagramObjectKeyanyTypezbwNTnLX><a:Key><Key>Actions\Edit KPI</Key></a:Key><a:Value i:type="MeasureGridViewStateIDiagramAction"/></a:KeyValueOfDiagramObjectKeyanyTypezbwNTnLX><a:KeyValueOfDiagramObjectKeyanyTypezbwNTnLX><a:Key><Key>Actions\Remove KPI</Key></a:Key><a:Value i:type="MeasureGridViewStateIDiagramAction"/></a:KeyValueOfDiagramObjectKeyanyTypezbwNTnLX><a:KeyValueOfDiagramObjectKeyanyTypezbwNTnLX><a:Key><Key>Actions\Copy Measure</Key></a:Key><a:Value i:type="MeasureGridViewStateIDiagramAction"/></a:KeyValueOfDiagramObjectKeyanyTypezbwNTnLX><a:KeyValueOfDiagramObjectKeyanyTypezbwNTnLX><a:Key><Key>Actions\AutoMeasure_Sum</Key></a:Key><a:Value i:type="MeasureGridViewStateIDiagramAction"/></a:KeyValueOfDiagramObjectKeyanyTypezbwNTnLX><a:KeyValueOfDiagramObjectKeyanyTypezbwNTnLX><a:Key><Key>Actions\AutoMeasure_Count</Key></a:Key><a:Value i:type="MeasureGridViewStateIDiagramAction"/></a:KeyValueOfDiagramObjectKeyanyTypezbwNTnLX><a:KeyValueOfDiagramObjectKeyanyTypezbwNTnLX><a:Key><Key>Actions\AutoMeasure_Average</Key></a:Key><a:Value i:type="MeasureGridViewStateIDiagramAction"/></a:KeyValueOfDiagramObjectKeyanyTypezbwNTnLX><a:KeyValueOfDiagramObjectKeyanyTypezbwNTnLX><a:Key><Key>Actions\AutoMeasure_Max</Key></a:Key><a:Value i:type="MeasureGridViewStateIDiagramAction"/></a:KeyValueOfDiagramObjectKeyanyTypezbwNTnLX><a:KeyValueOfDiagramObjectKeyanyTypezbwNTnLX><a:Key><Key>Actions\AutoMeasure_Min</Key></a:Key><a:Value i:type="MeasureGridViewStateIDiagramAction"/></a:KeyValueOfDiagramObjectKeyanyTypezbwNTnLX><a:KeyValueOfDiagramObjectKeyanyTypezbwNTnLX><a:Key><Key>Actions\AutoMeasure_StdDev</Key></a:Key><a:Value i:type="MeasureGridViewStateIDiagramAction"/></a:KeyValueOfDiagramObjectKeyanyTypezbwNTnLX><a:KeyValueOfDiagramObjectKeyanyTypezbwNTnLX><a:Key><Key>Actions\AutoMeasure_StdDevp</Key></a:Key><a:Value i:type="MeasureGridViewStateIDiagramAction"/></a:KeyValueOfDiagramObjectKeyanyTypezbwNTnLX><a:KeyValueOfDiagramObjectKeyanyTypezbwNTnLX><a:Key><Key>Actions\AutoMeasure_Var</Key></a:Key><a:Value i:type="MeasureGridViewStateIDiagramAction"/></a:KeyValueOfDiagramObjectKeyanyTypezbwNTnLX><a:KeyValueOfDiagramObjectKeyanyTypezbwNTnLX><a:Key><Key>Actions\AutoMeasure_Varp</Key></a:Key><a:Value i:type="MeasureGridViewStateIDiagramAction"/></a:KeyValueOfDiagramObjectKeyanyTypezbwNTnLX><a:KeyValueOfDiagramObjectKeyanyTypezbwNTnLX><a:Key><Key>Actions\AutoMeasure_DistinctCount</Key></a:Key><a:Value i:type="MeasureGridViewStateIDiagramAction"/></a:KeyValueOfDiagramObjectKeyanyTypezbwNTnLX><a:KeyValueOfDiagramObjectKeyanyTypezbwNTnLX><a:Key><Key>Actions\Edit</Key></a:Key><a:Value i:type="MeasureGridViewStateIDiagramAction"/></a:KeyValueOfDiagramObjectKeyanyTypezbwNTnLX><a:KeyValueOfDiagramObjectKeyanyTypezbwNTnLX><a:Key><Key>Actions\Create</Key></a:Key><a:Value i:type="MeasureGridViewStateIDiagramAction"/></a:KeyValueOfDiagramObjectKeyanyTypezbwNTnLX><a:KeyValueOfDiagramObjectKeyanyTypezbwNTnLX><a:Key><Key>Actions\Format</Key></a:Key><a:Value i:type="MeasureGridViewStateIDiagramAction"/></a:KeyValueOfDiagramObjectKeyanyTypezbwNTnLX><a:KeyValueOfDiagramObjectKeyanyTypezbwNTnLX><a:Key><Key>Actions\Edit Description</Key></a:Key><a:Value i:type="MeasureGridViewStateIDiagramAction"/></a:KeyValueOfDiagramObjectKeyanyTypezbwNTnLX><a:KeyValueOfDiagramObjectKeyanyTypezbwNTnLX><a:Key><Key>Actions\Hide Measures</Key></a:Key><a:Value i:type="MeasureGridViewStateIDiagramAction"/></a:KeyValueOfDiagramObjectKeyanyTypezbwNTnLX><a:KeyValueOfDiagramObjectKeyanyTypezbwNTnLX><a:Key><Key>Actions\Unhide Measures</Key></a:Key><a:Value i:type="MeasureGridViewStateIDiagramAction"/></a:KeyValueOfDiagramObjectKeyanyTypezbwNTnLX><a:KeyValueOfDiagramObjectKeyanyTypezbwNTnLX><a:Key><Key>TagGroups\Types</Key></a:Key><a:Value i:type="MeasureGridViewStateIDiagramTagGroup"/></a:KeyValueOfDiagramObjectKeyanyTypezbwNTnLX><a:KeyValueOfDiagramObjectKeyanyTypezbwNTnLX><a:Key><Key>TagGroups\Link Types</Key></a:Key><a:Value i:type="MeasureGridViewStateIDiagramTagGroup"/></a:KeyValueOfDiagramObjectKeyanyTypezbwNTnLX><a:KeyValueOfDiagramObjectKeyanyTypezbwNTnLX><a:Key><Key>TagGroups\KPI</Key></a:Key><a:Value i:type="MeasureGridViewStateIDiagramTagGroup"/></a:KeyValueOfDiagramObjectKeyanyTypezbwNTnLX><a:KeyValueOfDiagramObjectKeyanyTypezbwNTnLX><a:Key><Key>TagGroups\Errors</Key></a:Key><a:Value i:type="MeasureGridViewStateIDiagramTagGroup"/></a:KeyValueOfDiagramObjectKeyanyTypezbwNTnLX><a:KeyValueOfDiagramObjectKeyanyTypezbwNTnLX><a:Key><Key>TagGroups\Values and Formulas</Key></a:Key><a:Value i:type="MeasureGridViewStateIDiagramTagGroup"/></a:KeyValueOfDiagramObjectKeyanyTypezbwNTnLX><a:KeyValueOfDiagramObjectKeyanyTypezbwNTnLX><a:Key><Key>TagGroups\State</Key></a:Key><a:Value i:type="MeasureGridViewStateIDiagramTagGroup"/></a:KeyValueOfDiagramObjectKeyanyTypezbwNTnLX><a:KeyValueOfDiagramObjectKeyanyTypezbwNTnLX><a:Key><Key>Static Tags\Column</Key></a:Key><a:Value i:type="MeasureGridViewStateIDiagramTag"/></a:KeyValueOfDiagramObjectKeyanyTypezbwNTnLX><a:KeyValueOfDiagramObjectKeyanyTypezbwNTnLX><a:Key><Key>Static Tags\Measure</Key></a:Key><a:Value i:type="MeasureGridViewStateIDiagramTag"/></a:KeyValueOfDiagramObjectKeyanyTypezbwNTnLX><a:KeyValueOfDiagramObjectKeyanyTypezbwNTnLX><a:Key><Key>Static Tags\Implicit Measure and Source Column Link</Key></a:Key><a:Value i:type="MeasureGridViewStateIDiagramTag"/></a:KeyValueOfDiagramObjectKeyanyTypezbwNTnLX><a:KeyValueOfDiagramObjectKeyanyTypezbwNTnLX><a:Key><Key>Static Tags\KPI</Key></a:Key><a:Value i:type="MeasureGridViewStateIDiagramTag"/></a:KeyValueOfDiagramObjectKeyanyTypezbwNTnLX><a:KeyValueOfDiagramObjectKeyanyTypezbwNTnLX><a:Key><Key>Static Tags\Semantic Error</Key></a:Key><a:Value i:type="MeasureGridViewStateIDiagramTag"/></a:KeyValueOfDiagramObjectKeyanyTypezbwNTnLX><a:KeyValueOfDiagramObjectKeyanyTypezbwNTnLX><a:Key><Key>Static Tags\Calculation Error</Key></a:Key><a:Value i:type="MeasureGridViewStateIDiagramTag"/></a:KeyValueOfDiagramObjectKeyanyTypezbwNTnLX><a:KeyValueOfDiagramObjectKeyanyTypezbwNTnLX><a:Key><Key>Static Tags\Value</Key></a:Key><a:Value i:type="MeasureGridViewStateIDiagramTag"/></a:KeyValueOfDiagramObjectKeyanyTypezbwNTnLX><a:KeyValueOfDiagramObjectKeyanyTypezbwNTnLX><a:Key><Key>Static Tags\Formula</Key></a:Key><a:Value i:type="MeasureGridViewStateIDiagramTag"/></a:KeyValueOfDiagramObjectKeyanyTypezbwNTnLX><a:KeyValueOfDiagramObjectKeyanyTypezbwNTnLX><a:Key><Key>Static Tags\Evaluation in progress</Key></a:Key><a:Value i:type="MeasureGridViewStateIDiagramTag"/></a:KeyValueOfDiagramObjectKeyanyTypezbwNTnLX><a:KeyValueOfDiagramObjectKeyanyTypezbwNTnLX><a:Key><Key>Static Tags\Is implicit measure</Key></a:Key><a:Value i:type="MeasureGridViewStateIDiagramTag"/></a:KeyValueOfDiagramObjectKeyanyTypezbwNTnLX><a:KeyValueOfDiagramObjectKeyanyTypezbwNTnLX><a:Key><Key>Static Tags\Hidden</Key></a:Key><a:Value i:type="MeasureGridViewStateIDiagramTag"/></a:KeyValueOfDiagramObjectKeyanyTypezbwNTnLX><a:KeyValueOfDiagramObjectKeyanyTypezbwNTnLX><a:Key><Key>Static Tags\Not in perspective</Key></a:Key><a:Value i:type="MeasureGridViewStateIDiagramTag"/></a:KeyValueOfDiagramObjectKeyanyTypezbwNTnLX><a:KeyValueOfDiagramObjectKeyanyTypezbwNTnLX><a:Key><Key>Static Tags\Is readonly</Key></a:Key><a:Value i:type="MeasureGridViewStateIDiagramTag"/></a:KeyValueOfDiagramObjectKeyanyTypezbwNTnLX><a:KeyValueOfDiagramObjectKeyanyTypezbwNTnLX><a:Key><Key>Columns\Project_ID</Key></a:Key><a:Value i:type="MeasureGridNodeViewState"><LayedOut>true</LayedOut></a:Value></a:KeyValueOfDiagramObjectKeyanyTypezbwNTnLX><a:KeyValueOfDiagramObjectKeyanyTypezbwNTnLX><a:Key><Key>Columns\Project_Name</Key></a:Key><a:Value i:type="MeasureGridNodeViewState"><Column>1</Column><LayedOut>true</LayedOut></a:Value></a:KeyValueOfDiagramObjectKeyanyTypezbwNTnLX><a:KeyValueOfDiagramObjectKeyanyTypezbwNTnLX><a:Key><Key>Columns\Client</Key></a:Key><a:Value i:type="MeasureGridNodeViewState"><Column>2</Column><LayedOut>true</LayedOut></a:Value></a:KeyValueOfDiagramObjectKeyanyTypezbwNTnLX><a:KeyValueOfDiagramObjectKeyanyTypezbwNTnLX><a:Key><Key>Columns\Project_Manager</Key></a:Key><a:Value i:type="MeasureGridNodeViewState"><Column>3</Column><LayedOut>true</LayedOut></a:Value></a:KeyValueOfDiagramObjectKeyanyTypezbwNTnLX><a:KeyValueOfDiagramObjectKeyanyTypezbwNTnLX><a:Key><Key>Columns\Start_Date</Key></a:Key><a:Value i:type="MeasureGridNodeViewState"><Column>4</Column><LayedOut>true</LayedOut></a:Value></a:KeyValueOfDiagramObjectKeyanyTypezbwNTnLX><a:KeyValueOfDiagramObjectKeyanyTypezbwNTnLX><a:Key><Key>Columns\Budget</Key></a:Key><a:Value i:type="MeasureGridNodeViewState"><Column>5</Column><LayedOut>true</LayedOut></a:Value></a:KeyValueOfDiagramObjectKeyanyTypezbwNTnLX></ViewStates></DiagramManager.SerializableDiagram><DiagramManager.SerializableDiagram><Adapter i:type="ERDiagramSandboxAdapter"><PerspectiveName/></Adapter><DiagramType>ERDiagram</DiagramType><DisplayContext i:type="DiagramDisplayContext"><PrimaryTagGroupKey><Key>TagGroups\Node Types</Key></PrimaryTagGroupKey><ShowHidden>true</ShowHidden><ShownTagGroupKeys><DiagramObjectKey><Key>TagGroups\Warnings</Key></DiagramObjectKey></ShownTagGroupKeys><TagGroupHighlightsKey><Key>TagGroups\Highlight Reasons</Key></TagGroupHighlightsKey><TagHiddenKey><Key>Static Tags\Hidden</Key></TagHiddenKey><TagHighlightDisappearingKey><Key>Static Tags\Deleting</Key></TagHighlightDisappearingKey><TagHighlightPreviewLinkCreationKey><Key>Static Tags\Creating Valid Relationship</Key></TagHighlightPreviewLinkCreationKey><TagHighlightRelatedKey><Key>Static Tags\Related</Key></TagHighlightRelatedKey><TagHintTextKey><Key>Static Tags\Hint Text</Key></TagHintTextKey><TagImplicitMeasureKey><Key>Static Tags\Is Implicit Measure</Key></TagImplicitMeasureKey><TagInactiveKey><Key>Static Tags\Inactive</Key></TagInactiveKey><TagPreviewActiveKey><Key>Static Tags\Preview Active</Key></TagPreviewActiveKey><TagPreviewInactiveKey><Key>Static Tags\Preview Inactive</Key></TagPreviewInactiveKey></DisplayContext><DisplayType>DiagramDisplay</DisplayType><Key i:type="SandboxEditorDiagramKey"><Perspective/></Key><Maintainer i:type="ERDiagram.ERDiagramMaintainer"><AllKeys><DiagramObjectKey><Key>ER Diagram</Key></DiagramObjectKey><DiagramObjectKey><Key>Actions\Delete</Key></DiagramObjectKey><DiagramObjectKey><Key>Actions\Delete from model</Key></DiagramObjectKey><DiagramObjectKey><Key>Actions\Select</Key></DiagramObjectKey><DiagramObjectKey><Key>Actions\Create Relationship</Key></DiagramObjectKey><DiagramObjectKey><Key>Actions\Launch Create Relationship Dialog</Key></DiagramObjectKey><DiagramObjectKey><Key>Actions\Launch Edit Relationship Dialog</Key></DiagramObjectKey><DiagramObjectKey><Key>Actions\Create Hierarchy with Levels</Key></DiagramObjectKey><DiagramObjectKey><Key>Actions\Create Empty Hierarchy</Key></DiagramObjectKey><DiagramObjectKey><Key>Actions\Remove from Hierarchy</Key></DiagramObjectKey><DiagramObjectKey><Key>Actions\Rename Node</Key></DiagramObjectKey><DiagramObjectKey><Key>Actions\Move Node</Key></DiagramObjectKey><DiagramObjectKey><Key>Actions\Hide the entity</Key></DiagramObjectKey><DiagramObjectKey><Key>Actions\Unhide the entity</Key></DiagramObjectKey><DiagramObjectKey><Key>Actions\GoTo</Key></DiagramObjectKey><DiagramObjectKey><Key>Actions\Move Up</Key></DiagramObjectKey><DiagramObjectKey><Key>Actions\Move Down</Key></DiagramObjectKey><DiagramObjectKey><Key>Actions\Mark Relationship as Active</Key></DiagramObjectKey><DiagramObjectKey><Key>Actions\Mark Relationship as Inactive</Key></DiagramObjectKey><DiagramObjectKey><Key>Actions\Relationship Cross Filter Direction Single</Key></DiagramObjectKey><DiagramObjectKey><Key>Actions\Relationship Cross Filter Direction Both</Key></DiagramObjectKey><DiagramObjectKey><Key>Actions\Relationship End Point Multiplicity One</Key></DiagramObjectKey><DiagramObjectKey><Key>Actions\Relationship End Point Multiplicity Many</Key></DiagramObjectKey><DiagramObjectKey><Key>TagGroups\Node Types</Key></DiagramObjectKey><DiagramObjectKey><Key>TagGroups\Additional Info Types</Key></DiagramObjectKey><DiagramObjectKey><Key>TagGroups\Calculated Columns</Key></DiagramObjectKey><DiagramObjectKey><Key>TagGroups\Warnings</Key></DiagramObjectKey><DiagramObjectKey><Key>TagGroups\Highlight Reasons</Key></DiagramObjectKey><DiagramObjectKey><Key>TagGroups\State</Key></DiagramObjectKey><DiagramObjectKey><Key>TagGroups\Link Roles</Key></DiagramObjectKey><DiagramObjectKey><Key>TagGroups\Link Types</Key></DiagramObjectKey><DiagramObjectKey><Key>TagGroups\Link States</Key></DiagramObjectKey><DiagramObjectKey><Key>Diagram\TagGroups\Deletion Impacts</Key></DiagramObjectKey><DiagramObjectKey><Key>TagGroups\Hierarchy Identifiers</Key></DiagramObjectKey><DiagramObjectKey><Key>TagGroups\Table Identifiers</Key></DiagramObjectKey><DiagramObjectKey><Key>TagGroups\Action Descriptors</Key></DiagramObjectKey><DiagramObjectKey><Key>TagGroups\Hint Texts</Key></DiagramObjectKey><DiagramObjectKey><Key>Static Tags\Table</Key></DiagramObjectKey><DiagramObjectKey><Key>Static Tags\Column</Key></DiagramObjectKey><DiagramObjectKey><Key>Static Tags\Measure</Key></DiagramObjectKey><DiagramObjectKey><Key>Static Tags\Hierarchy</Key></DiagramObjectKey><DiagramObjectKey><Key>Static Tags\HierarchyLevel</Key></DiagramObjectKey><DiagramObjectKey><Key>Static Tags\KPI</Key></DiagramObjectKey><DiagramObjectKey><Key>Static Tags\Additional Info for Source Column</Key></DiagramObjectKey><DiagramObjectKey><Key>Static Tags\Calculated Column</Key></DiagramObjectKey><DiagramObjectKey><Key>Static Tags\Error</Key></DiagramObjectKey><DiagramObjectKey><Key>Static Tags\NotCalculated</Key></DiagramObjectKey><DiagramObjectKey><Key>Static Tags\Is Implicit Measure</Key></DiagramObjectKey><DiagramObjectKey><Key>Static Tags\Related</Key></DiagramObjectKey><DiagramObjectKey><Key>Static Tags\Deleting</Key></DiagramObjectKey><DiagramObjectKey><Key>Static Tags\Creating Valid Relationship</Key></DiagramObjectKey><DiagramObjectKey><Key>Static Tags\Hidden</Key></DiagramObjectKey><DiagramObjectKey><Key>Static Tags\Linked Table Column</Key></DiagramObjectKey><DiagramObjectKey><Key>Static Tags\Is readonly</Key></DiagramObjectKey><DiagramObjectKey><Key>Static Tags\FK</Key></DiagramObjectKey><DiagramObjectKey><Key>Static Tags\PK</Key></DiagramObjectKey><DiagramObjectKey><Key>Static Tags\Relationship</Key></DiagramObjectKey><DiagramObjectKey><Key>Static Tags\Active</Key></DiagramObjectKey><DiagramObjectKey><Key>Static Tags\Inactive</Key></DiagramObjectKey><DiagramObjectKey><Key>Static Tags\Preview Active</Key></DiagramObjectKey><DiagramObjectKey><Key>Static Tags\Preview Inactive</Key></DiagramObjectKey><DiagramObjectKey><Key>Static Tags\CrossFilterDirection</Key></DiagramObjectKey><DiagramObjectKey><Key>Static Tags\CrossFilterDirectionSingle</Key></DiagramObjectKey><DiagramObjectKey><Key>Static Tags\CrossFilterDirectionBoth</Key></DiagramObjectKey><DiagramObjectKey><Key>Static Tags\EndPointMultiplicityOne</Key></DiagramObjectKey><DiagramObjectKey><Key>Static Tags\EndPointMultiplicityMany</Key></DiagramObjectKey><DiagramObjectKey><Key>Diagram\TagGroups\Highlight Reasons\Tags\Hard Deletion Impact</Key></DiagramObjectKey><DiagramObjectKey><Key>Diagram\TagGroups\Highlight Reasons\Tags\Minimum Deletion Impact</Key></DiagramObjectKey><DiagramObjectKey><Key>Static Tags\Can be part of relationship</Key></DiagramObjectKey><DiagramObjectKey><Key>Static Tags\Hint Text</Key></DiagramObjectKey><DiagramObjectKey><Key>Dynamic Tags\Tables\&lt;Tables\tbl_Tasks_Clean&gt;</Key></DiagramObjectKey><DiagramObjectKey><Key>Dynamic Tags\Tables\&lt;Tables\tbl_Projects&gt;</Key></DiagramObjectKey><DiagramObjectKey><Key>Dynamic Tags\Tables\&lt;Tables\tbl_Employees&gt;</Key></DiagramObjectKey><DiagramObjectKey><Key>Tables\tbl_Tasks_Clean</Key></DiagramObjectKey><DiagramObjectKey><Key>Tables\tbl_Tasks_Clean\Columns\Task_ID</Key></DiagramObjectKey><DiagramObjectKey><Key>Tables\tbl_Tasks_Clean\Columns\Project_ID</Key></DiagramObjectKey><DiagramObjectKey><Key>Tables\tbl_Tasks_Clean\Columns\Project_Name</Key></DiagramObjectKey><DiagramObjectKey><Key>Tables\tbl_Tasks_Clean\Columns\Task_Name</Key></DiagramObjectKey><DiagramObjectKey><Key>Tables\tbl_Tasks_Clean\Columns\Department</Key></DiagramObjectKey><DiagramObjectKey><Key>Tables\tbl_Tasks_Clean\Columns\Assigned_To</Key></DiagramObjectKey><DiagramObjectKey><Key>Tables\tbl_Tasks_Clean\Columns\Priority</Key></DiagramObjectKey><DiagramObjectKey><Key>Tables\tbl_Tasks_Clean\Columns\Status</Key></DiagramObjectKey><DiagramObjectKey><Key>Tables\tbl_Tasks_Clean\Columns\Start_Date</Key></DiagramObjectKey><DiagramObjectKey><Key>Tables\tbl_Tasks_Clean\Columns\Planned_End_Date</Key></DiagramObjectKey><DiagramObjectKey><Key>Tables\tbl_Tasks_Clean\Columns\Actual_End_Date</Key></DiagramObjectKey><DiagramObjectKey><Key>Tables\tbl_Tasks_Clean\Columns\Planned_Cost</Key></DiagramObjectKey><DiagramObjectKey><Key>Tables\tbl_Tasks_Clean\Columns\Actual_Cost</Key></DiagramObjectKey><DiagramObjectKey><Key>Tables\tbl_Tasks_Clean\Columns\Planned_Duration_Days</Key></DiagramObjectKey><DiagramObjectKey><Key>Tables\tbl_Tasks_Clean\Columns\Delay_Days</Key></DiagramObjectKey><DiagramObjectKey><Key>Tables\tbl_Tasks_Clean\Columns\Client</Key></DiagramObjectKey><DiagramObjectKey><Key>Tables\tbl_Tasks_Clean\Columns\Project_Manager</Key></DiagramObjectKey><DiagramObjectKey><Key>Tables\tbl_Tasks_Clean\Columns\Start_Date.1</Key></DiagramObjectKey><DiagramObjectKey><Key>Tables\tbl_Tasks_Clean\Columns\Budget</Key></DiagramObjectKey><DiagramObjectKey><Key>Tables\tbl_Tasks_Clean\Columns\Employee_ID</Key></DiagramObjectKey><DiagramObjectKey><Key>Tables\tbl_Tasks_Clean\Columns\Role</Key></DiagramObjectKey><DiagramObjectKey><Key>Tables\tbl_Tasks_Clean\Columns\Hourly_Rate</Key></DiagramObjectKey><DiagramObjectKey><Key>Tables\tbl_Tasks_Clean\Columns\Cost_Variance</Key></DiagramObjectKey><DiagramObjectKey><Key>Tables\tbl_Tasks_Clean\Columns\Cost_Variance_%</Key></DiagramObjectKey><DiagramObjectKey><Key>Tables\tbl_Tasks_Clean\Columns\On_Time_Flag</Key></DiagramObjectKey><DiagramObjectKey><Key>Tables\tbl_Tasks_Clean\Columns\Task_Age_Category</Key></DiagramObjectKey><DiagramObjectKey><Key>Tables\tbl_Tasks_Clean\Columns\Manager_Lookup</Key></DiagramObjectKey><DiagramObjectKey><Key>Tables\tbl_Tasks_Clean\Measures\Sum of Planned_Cost</Key></DiagramObjectKey><DiagramObjectKey><Key>Tables\tbl_Tasks_Clean\Sum of Planned_Cost\Additional Info\Implicit Measure</Key></DiagramObjectKey><DiagramObjectKey><Key>Tables\tbl_Tasks_Clean\Measures\Sum of Actual_Cost</Key></DiagramObjectKey><DiagramObjectKey><Key>Tables\tbl_Tasks_Clean\Sum of Actual_Cost\Additional Info\Implicit Measure</Key></DiagramObjectKey><DiagramObjectKey><Key>Tables\tbl_Tasks_Clean\Measures\Total Planned Cost</Key></DiagramObjectKey><DiagramObjectKey><Key>Tables\tbl_Tasks_Clean\Measures\Total Actual Cost</Key></DiagramObjectKey><DiagramObjectKey><Key>Tables\tbl_Tasks_Clean\Measures\Cost Variance</Key></DiagramObjectKey><DiagramObjectKey><Key>Tables\tbl_Tasks_Clean\Measures\Cost Variance %</Key></DiagramObjectKey><DiagramObjectKey><Key>Tables\tbl_Tasks_Clean\Measures\Completed Tasks</Key></DiagramObjectKey><DiagramObjectKey><Key>Tables\tbl_Tasks_Clean\Measures\On-Time Completion Rate</Key></DiagramObjectKey><DiagramObjectKey><Key>Tables\tbl_Tasks_Clean\Measures\Average Delay Days</Key></DiagramObjectKey><DiagramObjectKey><Key>Tables\tbl_Projects</Key></DiagramObjectKey><DiagramObjectKey><Key>Tables\tbl_Projects\Columns\Project_ID</Key></DiagramObjectKey><DiagramObjectKey><Key>Tables\tbl_Projects\Columns\Project_Name</Key></DiagramObjectKey><DiagramObjectKey><Key>Tables\tbl_Projects\Columns\Client</Key></DiagramObjectKey><DiagramObjectKey><Key>Tables\tbl_Projects\Columns\Project_Manager</Key></DiagramObjectKey><DiagramObjectKey><Key>Tables\tbl_Projects\Columns\Start_Date</Key></DiagramObjectKey><DiagramObjectKey><Key>Tables\tbl_Projects\Columns\Budget</Key></DiagramObjectKey><DiagramObjectKey><Key>Tables\tbl_Employees</Key></DiagramObjectKey><DiagramObjectKey><Key>Tables\tbl_Employees\Columns\Employee_ID</Key></DiagramObjectKey><DiagramObjectKey><Key>Tables\tbl_Employees\Columns\Employee_Name</Key></DiagramObjectKey><DiagramObjectKey><Key>Tables\tbl_Employees\Columns\Department</Key></DiagramObjectKey><DiagramObjectKey><Key>Tables\tbl_Employees\Columns\Role</Key></DiagramObjectKey><DiagramObjectKey><Key>Tables\tbl_Employees\Columns\Hourly_Rate</Key></DiagramObjectKey><DiagramObjectKey><Key>Relationships\&lt;Tables\tbl_Tasks_Clean\Columns\Project_ID&gt;-&lt;Tables\tbl_Projects\Columns\Project_ID&gt;</Key></DiagramObjectKey><DiagramObjectKey><Key>Relationships\&lt;Tables\tbl_Tasks_Clean\Columns\Project_ID&gt;-&lt;Tables\tbl_Projects\Columns\Project_ID&gt;\FK</Key></DiagramObjectKey><DiagramObjectKey><Key>Relationships\&lt;Tables\tbl_Tasks_Clean\Columns\Project_ID&gt;-&lt;Tables\tbl_Projects\Columns\Project_ID&gt;\PK</Key></DiagramObjectKey><DiagramObjectKey><Key>Relationships\&lt;Tables\tbl_Tasks_Clean\Columns\Project_ID&gt;-&lt;Tables\tbl_Projects\Columns\Project_ID&gt;\CrossFilter</Key></DiagramObjectKey><DiagramObjectKey><Key>Relationships\&lt;Tables\tbl_Tasks_Clean\Columns\Assigned_To&gt;-&lt;Tables\tbl_Employees\Columns\Employee_Name&gt;</Key></DiagramObjectKey><DiagramObjectKey><Key>Relationships\&lt;Tables\tbl_Tasks_Clean\Columns\Assigned_To&gt;-&lt;Tables\tbl_Employees\Columns\Employee_Name&gt;\FK</Key></DiagramObjectKey><DiagramObjectKey><Key>Relationships\&lt;Tables\tbl_Tasks_Clean\Columns\Assigned_To&gt;-&lt;Tables\tbl_Employees\Columns\Employee_Name&gt;\PK</Key></DiagramObjectKey><DiagramObjectKey><Key>Relationships\&lt;Tables\tbl_Tasks_Clean\Columns\Assigned_To&gt;-&lt;Tables\tbl_Employees\Columns\Employee_Name&gt;\CrossFilter</Key></DiagramObjectKey></AllKeys><SelectedKeys><DiagramObjectKey><Key>Relationships\&lt;Tables\tbl_Tasks_Clean\Columns\Assigned_To&gt;-&lt;Tables\tbl_Employees\Columns\Employee_Name&gt;</Key></DiagramObjectKey></SelectedKeys></Maintainer><ViewStateFactoryType>Microsoft.AnalysisServices.Common.DiagramDisplayViewStateFactory</ViewStateFactoryType><ViewStates xmlns:a="http://schemas.microsoft.com/2003/10/Serialization/Arrays"><a:KeyValueOfDiagramObjectKeyanyTypezbwNTnLX><a:Key><Key>ER Diagram</Key></a:Key><a:Value i:type="DiagramDisplayDiagramViewState"><LayedOut>true</LayedOut><ZoomPercent>80</ZoomPercent></a:Value></a:KeyValueOfDiagramObjectKeyanyTypezbwNTnLX><a:KeyValueOfDiagramObjectKeyanyTypezbwNTnLX><a:Key><Key>Actions\Delete</Key></a:Key><a:Value i:type="DiagramDisplayViewStateIDiagramAction"/></a:KeyValueOfDiagramObjectKeyanyTypezbwNTnLX><a:KeyValueOfDiagramObjectKeyanyTypezbwNTnLX><a:Key><Key>Actions\Delete from model</Key></a:Key><a:Value i:type="DiagramDisplayViewStateIDiagramAction"/></a:KeyValueOfDiagramObjectKeyanyTypezbwNTnLX><a:KeyValueOfDiagramObjectKeyanyTypezbwNTnLX><a:Key><Key>Actions\Select</Key></a:Key><a:Value i:type="DiagramDisplayViewStateIDiagramAction"/></a:KeyValueOfDiagramObjectKeyanyTypezbwNTnLX><a:KeyValueOfDiagramObjectKeyanyTypezbwNTnLX><a:Key><Key>Actions\Create Relationship</Key></a:Key><a:Value i:type="DiagramDisplayViewStateIDiagramAction"/></a:KeyValueOfDiagramObjectKeyanyTypezbwNTnLX><a:KeyValueOfDiagramObjectKeyanyTypezbwNTnLX><a:Key><Key>Actions\Launch Create Relationship Dialog</Key></a:Key><a:Value i:type="DiagramDisplayViewStateIDiagramAction"/></a:KeyValueOfDiagramObjectKeyanyTypezbwNTnLX><a:KeyValueOfDiagramObjectKeyanyTypezbwNTnLX><a:Key><Key>Actions\Launch Edit Relationship Dialog</Key></a:Key><a:Value i:type="DiagramDisplayViewStateIDiagramAction"/></a:KeyValueOfDiagramObjectKeyanyTypezbwNTnLX><a:KeyValueOfDiagramObjectKeyanyTypezbwNTnLX><a:Key><Key>Actions\Create Hierarchy with Levels</Key></a:Key><a:Value i:type="DiagramDisplayViewStateIDiagramAction"/></a:KeyValueOfDiagramObjectKeyanyTypezbwNTnLX><a:KeyValueOfDiagramObjectKeyanyTypezbwNTnLX><a:Key><Key>Actions\Create Empty Hierarchy</Key></a:Key><a:Value i:type="DiagramDisplayViewStateIDiagramAction"/></a:KeyValueOfDiagramObjectKeyanyTypezbwNTnLX><a:KeyValueOfDiagramObjectKeyanyTypezbwNTnLX><a:Key><Key>Actions\Remove from Hierarchy</Key></a:Key><a:Value i:type="DiagramDisplayViewStateIDiagramAction"/></a:KeyValueOfDiagramObjectKeyanyTypezbwNTnLX><a:KeyValueOfDiagramObjectKeyanyTypezbwNTnLX><a:Key><Key>Actions\Rename Node</Key></a:Key><a:Value i:type="DiagramDisplayViewStateIDiagramAction"/></a:KeyValueOfDiagramObjectKeyanyTypezbwNTnLX><a:KeyValueOfDiagramObjectKeyanyTypezbwNTnLX><a:Key><Key>Actions\Move Node</Key></a:Key><a:Value i:type="DiagramDisplayViewStateIDiagramAction"/></a:KeyValueOfDiagramObjectKeyanyTypezbwNTnLX><a:KeyValueOfDiagramObjectKeyanyTypezbwNTnLX><a:Key><Key>Actions\Hide the entity</Key></a:Key><a:Value i:type="DiagramDisplayViewStateIDiagramAction"/></a:KeyValueOfDiagramObjectKeyanyTypezbwNTnLX><a:KeyValueOfDiagramObjectKeyanyTypezbwNTnLX><a:Key><Key>Actions\Unhide the entity</Key></a:Key><a:Value i:type="DiagramDisplayViewStateIDiagramAction"/></a:KeyValueOfDiagramObjectKeyanyTypezbwNTnLX><a:KeyValueOfDiagramObjectKeyanyTypezbwNTnLX><a:Key><Key>Actions\GoTo</Key></a:Key><a:Value i:type="DiagramDisplayViewStateIDiagramAction"/></a:KeyValueOfDiagramObjectKeyanyTypezbwNTnLX><a:KeyValueOfDiagramObjectKeyanyTypezbwNTnLX><a:Key><Key>Actions\Move Up</Key></a:Key><a:Value i:type="DiagramDisplayViewStateIDiagramAction"/></a:KeyValueOfDiagramObjectKeyanyTypezbwNTnLX><a:KeyValueOfDiagramObjectKeyanyTypezbwNTnLX><a:Key><Key>Actions\Move Down</Key></a:Key><a:Value i:type="DiagramDisplayViewStateIDiagramAction"/></a:KeyValueOfDiagramObjectKeyanyTypezbwNTnLX><a:KeyValueOfDiagramObjectKeyanyTypezbwNTnLX><a:Key><Key>Actions\Mark Relationship as Active</Key></a:Key><a:Value i:type="DiagramDisplayViewStateIDiagramAction"/></a:KeyValueOfDiagramObjectKeyanyTypezbwNTnLX><a:KeyValueOfDiagramObjectKeyanyTypezbwNTnLX><a:Key><Key>Actions\Mark Relationship as Inactive</Key></a:Key><a:Value i:type="DiagramDisplayViewStateIDiagramAction"/></a:KeyValueOfDiagramObjectKeyanyTypezbwNTnLX><a:KeyValueOfDiagramObjectKeyanyTypezbwNTnLX><a:Key><Key>Actions\Relationship Cross Filter Direction Single</Key></a:Key><a:Value i:type="DiagramDisplayViewStateIDiagramAction"/></a:KeyValueOfDiagramObjectKeyanyTypezbwNTnLX><a:KeyValueOfDiagramObjectKeyanyTypezbwNTnLX><a:Key><Key>Actions\Relationship Cross Filter Direction Both</Key></a:Key><a:Value i:type="DiagramDisplayViewStateIDiagramAction"/></a:KeyValueOfDiagramObjectKeyanyTypezbwNTnLX><a:KeyValueOfDiagramObjectKeyanyTypezbwNTnLX><a:Key><Key>Actions\Relationship End Point Multiplicity One</Key></a:Key><a:Value i:type="DiagramDisplayViewStateIDiagramAction"/></a:KeyValueOfDiagramObjectKeyanyTypezbwNTnLX><a:KeyValueOfDiagramObjectKeyanyTypezbwNTnLX><a:Key><Key>Actions\Relationship End Point Multiplicity Many</Key></a:Key><a:Value i:type="DiagramDisplayViewStateIDiagramAction"/></a:KeyValueOfDiagramObjectKeyanyTypezbwNTnLX><a:KeyValueOfDiagramObjectKeyanyTypezbwNTnLX><a:Key><Key>TagGroups\Node Types</Key></a:Key><a:Value i:type="DiagramDisplayViewStateIDiagramTagGroup"/></a:KeyValueOfDiagramObjectKeyanyTypezbwNTnLX><a:KeyValueOfDiagramObjectKeyanyTypezbwNTnLX><a:Key><Key>TagGroups\Additional Info Types</Key></a:Key><a:Value i:type="DiagramDisplayViewStateIDiagramTagGroup"/></a:KeyValueOfDiagramObjectKeyanyTypezbwNTnLX><a:KeyValueOfDiagramObjectKeyanyTypezbwNTnLX><a:Key><Key>TagGroups\Calculated Columns</Key></a:Key><a:Value i:type="DiagramDisplayViewStateIDiagramTagGroup"/></a:KeyValueOfDiagramObjectKeyanyTypezbwNTnLX><a:KeyValueOfDiagramObjectKeyanyTypezbwNTnLX><a:Key><Key>TagGroups\Warnings</Key></a:Key><a:Value i:type="DiagramDisplayViewStateIDiagramTagGroup"/></a:KeyValueOfDiagramObjectKeyanyTypezbwNTnLX><a:KeyValueOfDiagramObjectKeyanyTypezbwNTnLX><a:Key><Key>TagGroups\Highlight Reasons</Key></a:Key><a:Value i:type="DiagramDisplayViewStateIDiagramTagGroup"/></a:KeyValueOfDiagramObjectKeyanyTypezbwNTnLX><a:KeyValueOfDiagramObjectKeyanyTypezbwNTnLX><a:Key><Key>TagGroups\State</Key></a:Key><a:Value i:type="DiagramDisplayViewStateIDiagramTagGroup"/></a:KeyValueOfDiagramObjectKeyanyTypezbwNTnLX><a:KeyValueOfDiagramObjectKeyanyTypezbwNTnLX><a:Key><Key>TagGroups\Link Roles</Key></a:Key><a:Value i:type="DiagramDisplayViewStateIDiagramTagGroup"/></a:KeyValueOfDiagramObjectKeyanyTypezbwNTnLX><a:KeyValueOfDiagramObjectKeyanyTypezbwNTnLX><a:Key><Key>TagGroups\Link Types</Key></a:Key><a:Value i:type="DiagramDisplayViewStateIDiagramTagGroup"/></a:KeyValueOfDiagramObjectKeyanyTypezbwNTnLX><a:KeyValueOfDiagramObjectKeyanyTypezbwNTnLX><a:Key><Key>TagGroups\Link States</Key></a:Key><a:Value i:type="DiagramDisplayViewStateIDiagramTagGroup"/></a:KeyValueOfDiagramObjectKeyanyTypezbwNTnLX><a:KeyValueOfDiagramObjectKeyanyTypezbwNTnLX><a:Key><Key>Diagram\TagGroups\Deletion Impacts</Key></a:Key><a:Value i:type="DiagramDisplayViewStateIDiagramTagGroup"/></a:KeyValueOfDiagramObjectKeyanyTypezbwNTnLX><a:KeyValueOfDiagramObjectKeyanyTypezbwNTnLX><a:Key><Key>TagGroups\Hierarchy Identifiers</Key></a:Key><a:Value i:type="DiagramDisplayViewStateIDiagramTagGroup"/></a:KeyValueOfDiagramObjectKeyanyTypezbwNTnLX><a:KeyValueOfDiagramObjectKeyanyTypezbwNTnLX><a:Key><Key>TagGroups\Table Identifiers</Key></a:Key><a:Value i:type="DiagramDisplayViewStateIDiagramTagGroup"/></a:KeyValueOfDiagramObjectKeyanyTypezbwNTnLX><a:KeyValueOfDiagramObjectKeyanyTypezbwNTnLX><a:Key><Key>TagGroups\Action Descriptors</Key></a:Key><a:Value i:type="DiagramDisplayViewStateIDiagramTagGroup"/></a:KeyValueOfDiagramObjectKeyanyTypezbwNTnLX><a:KeyValueOfDiagramObjectKeyanyTypezbwNTnLX><a:Key><Key>TagGroups\Hint Texts</Key></a:Key><a:Value i:type="DiagramDisplayViewStateIDiagramTagGroup"/></a:KeyValueOfDiagramObjectKeyanyTypezbwNTnLX><a:KeyValueOfDiagramObjectKeyanyTypezbwNTnLX><a:Key><Key>Static Tags\Table</Key></a:Key><a:Value i:type="DiagramDisplayTagViewState"><IsNotFilteredOut>true</IsNotFilteredOut></a:Value></a:KeyValueOfDiagramObjectKeyanyTypezbwNTnLX><a:KeyValueOfDiagramObjectKeyanyTypezbwNTnLX><a:Key><Key>Static Tags\Column</Key></a:Key><a:Value i:type="DiagramDisplayTagViewState"><IsNotFilteredOut>true</IsNotFilteredOut></a:Value></a:KeyValueOfDiagramObjectKeyanyTypezbwNTnLX><a:KeyValueOfDiagramObjectKeyanyTypezbwNTnLX><a:Key><Key>Static Tags\Measure</Key></a:Key><a:Value i:type="DiagramDisplayTagViewState"><IsNotFilteredOut>true</IsNotFilteredOut></a:Value></a:KeyValueOfDiagramObjectKeyanyTypezbwNTnLX><a:KeyValueOfDiagramObjectKeyanyTypezbwNTnLX><a:Key><Key>Static Tags\Hierarchy</Key></a:Key><a:Value i:type="DiagramDisplayTagViewState"><IsNotFilteredOut>true</IsNotFilteredOut></a:Value></a:KeyValueOfDiagramObjectKeyanyTypezbwNTnLX><a:KeyValueOfDiagramObjectKeyanyTypezbwNTnLX><a:Key><Key>Static Tags\HierarchyLevel</Key></a:Key><a:Value i:type="DiagramDisplayTagViewState"><IsNotFilteredOut>true</IsNotFilteredOut></a:Value></a:KeyValueOfDiagramObjectKeyanyTypezbwNTnLX><a:KeyValueOfDiagramObjectKeyanyTypezbwNTnLX><a:Key><Key>Static Tags\KPI</Key></a:Key><a:Value i:type="DiagramDisplayTagViewState"><IsNotFilteredOut>true</IsNotFilteredOut></a:Value></a:KeyValueOfDiagramObjectKeyanyTypezbwNTnLX><a:KeyValueOfDiagramObjectKeyanyTypezbwNTnLX><a:Key><Key>Static Tags\Additional Info for Source Column</Key></a:Key><a:Value i:type="DiagramDisplayTagViewState"><IsNotFilteredOut>true</IsNotFilteredOut></a:Value></a:KeyValueOfDiagramObjectKeyanyTypezbwNTnLX><a:KeyValueOfDiagramObjectKeyanyTypezbwNTnLX><a:Key><Key>Static Tags\Calculated Column</Key></a:Key><a:Value i:type="DiagramDisplayTagViewState"><IsNotFilteredOut>true</IsNotFilteredOut></a:Value></a:KeyValueOfDiagramObjectKeyanyTypezbwNTnLX><a:KeyValueOfDiagramObjectKeyanyTypezbwNTnLX><a:Key><Key>Static Tags\Error</Key></a:Key><a:Value i:type="DiagramDisplayTagViewState"><IsNotFilteredOut>true</IsNotFilteredOut></a:Value></a:KeyValueOfDiagramObjectKeyanyTypezbwNTnLX><a:KeyValueOfDiagramObjectKeyanyTypezbwNTnLX><a:Key><Key>Static Tags\NotCalculated</Key></a:Key><a:Value i:type="DiagramDisplayTagViewState"><IsNotFilteredOut>true</IsNotFilteredOut></a:Value></a:KeyValueOfDiagramObjectKeyanyTypezbwNTnLX><a:KeyValueOfDiagramObjectKeyanyTypezbwNTnLX><a:Key><Key>Static Tags\Is Implicit Measure</Key></a:Key><a:Value i:type="DiagramDisplayTagViewState"><IsNotFilteredOut>true</IsNotFilteredOut></a:Value></a:KeyValueOfDiagramObjectKeyanyTypezbwNTnLX><a:KeyValueOfDiagramObjectKeyanyTypezbwNTnLX><a:Key><Key>Static Tags\Related</Key></a:Key><a:Value i:type="DiagramDisplayTagViewState"><IsNotFilteredOut>true</IsNotFilteredOut></a:Value></a:KeyValueOfDiagramObjectKeyanyTypezbwNTnLX><a:KeyValueOfDiagramObjectKeyanyTypezbwNTnLX><a:Key><Key>Static Tags\Deleting</Key></a:Key><a:Value i:type="DiagramDisplayTagViewState"><IsNotFilteredOut>true</IsNotFilteredOut></a:Value></a:KeyValueOfDiagramObjectKeyanyTypezbwNTnLX><a:KeyValueOfDiagramObjectKeyanyTypezbwNTnLX><a:Key><Key>Static Tags\Creating Valid Relationship</Key></a:Key><a:Value i:type="DiagramDisplayTagViewState"><IsNotFilteredOut>true</IsNotFilteredOut></a:Value></a:KeyValueOfDiagramObjectKeyanyTypezbwNTnLX><a:KeyValueOfDiagramObjectKeyanyTypezbwNTnLX><a:Key><Key>Static Tags\Hidden</Key></a:Key><a:Value i:type="DiagramDisplayTagViewState"><IsNotFilteredOut>true</IsNotFilteredOut></a:Value></a:KeyValueOfDiagramObjectKeyanyTypezbwNTnLX><a:KeyValueOfDiagramObjectKeyanyTypezbwNTnLX><a:Key><Key>Static Tags\Linked Table Column</Key></a:Key><a:Value i:type="DiagramDisplayTagViewState"><IsNotFilteredOut>true</IsNotFilteredOut></a:Value></a:KeyValueOfDiagramObjectKeyanyTypezbwNTnLX><a:KeyValueOfDiagramObjectKeyanyTypezbwNTnLX><a:Key><Key>Static Tags\Is readonly</Key></a:Key><a:Value i:type="DiagramDisplayTagViewState"><IsNotFilteredOut>true</IsNotFilteredOut></a:Value></a:KeyValueOfDiagramObjectKeyanyTypezbwNTnLX><a:KeyValueOfDiagramObjectKeyanyTypezbwNTnLX><a:Key><Key>Static Tags\FK</Key></a:Key><a:Value i:type="DiagramDisplayTagViewState"><IsNotFilteredOut>true</IsNotFilteredOut></a:Value></a:KeyValueOfDiagramObjectKeyanyTypezbwNTnLX><a:KeyValueOfDiagramObjectKeyanyTypezbwNTnLX><a:Key><Key>Static Tags\PK</Key></a:Key><a:Value i:type="DiagramDisplayTagViewState"><IsNotFilteredOut>true</IsNotFilteredOut></a:Value></a:KeyValueOfDiagramObjectKeyanyTypezbwNTnLX><a:KeyValueOfDiagramObjectKeyanyTypezbwNTnLX><a:Key><Key>Static Tags\Relationship</Key></a:Key><a:Value i:type="DiagramDisplayTagViewState"><IsNotFilteredOut>true</IsNotFilteredOut></a:Value></a:KeyValueOfDiagramObjectKeyanyTypezbwNTnLX><a:KeyValueOfDiagramObjectKeyanyTypezbwNTnLX><a:Key><Key>Static Tags\Active</Key></a:Key><a:Value i:type="DiagramDisplayTagViewState"><IsNotFilteredOut>true</IsNotFilteredOut></a:Value></a:KeyValueOfDiagramObjectKeyanyTypezbwNTnLX><a:KeyValueOfDiagramObjectKeyanyTypezbwNTnLX><a:Key><Key>Static Tags\Inactive</Key></a:Key><a:Value i:type="DiagramDisplayTagViewState"><IsNotFilteredOut>true</IsNotFilteredOut></a:Value></a:KeyValueOfDiagramObjectKeyanyTypezbwNTnLX><a:KeyValueOfDiagramObjectKeyanyTypezbwNTnLX><a:Key><Key>Static Tags\Preview Active</Key></a:Key><a:Value i:type="DiagramDisplayTagViewState"><IsNotFilteredOut>true</IsNotFilteredOut></a:Value></a:KeyValueOfDiagramObjectKeyanyTypezbwNTnLX><a:KeyValueOfDiagramObjectKeyanyTypezbwNTnLX><a:Key><Key>Static Tags\Preview Inactive</Key></a:Key><a:Value i:type="DiagramDisplayTagViewState"><IsNotFilteredOut>true</IsNotFilteredOut></a:Value></a:KeyValueOfDiagramObjectKeyanyTypezbwNTnLX><a:KeyValueOfDiagramObjectKeyanyTypezbwNTnLX><a:Key><Key>Static Tags\CrossFilterDirection</Key></a:Key><a:Value i:type="DiagramDisplayTagViewState"><IsNotFilteredOut>true</IsNotFilteredOut></a:Value></a:KeyValueOfDiagramObjectKeyanyTypezbwNTnLX><a:KeyValueOfDiagramObjectKeyanyTypezbwNTnLX><a:Key><Key>Static Tags\CrossFilterDirectionSingle</Key></a:Key><a:Value i:type="DiagramDisplayTagViewState"><IsNotFilteredOut>true</IsNotFilteredOut></a:Value></a:KeyValueOfDiagramObjectKeyanyTypezbwNTnLX><a:KeyValueOfDiagramObjectKeyanyTypezbwNTnLX><a:Key><Key>Static Tags\CrossFilterDirectionBoth</Key></a:Key><a:Value i:type="DiagramDisplayTagViewState"><IsNotFilteredOut>true</IsNotFilteredOut></a:Value></a:KeyValueOfDiagramObjectKeyanyTypezbwNTnLX><a:KeyValueOfDiagramObjectKeyanyTypezbwNTnLX><a:Key><Key>Static Tags\EndPointMultiplicityOne</Key></a:Key><a:Value i:type="DiagramDisplayTagViewState"><IsNotFilteredOut>true</IsNotFilteredOut></a:Value></a:KeyValueOfDiagramObjectKeyanyTypezbwNTnLX><a:KeyValueOfDiagramObjectKeyanyTypezbwNTnLX><a:Key><Key>Static Tags\EndPointMultiplicityMany</Key></a:Key><a:Value i:type="DiagramDisplayTagViewState"><IsNotFilteredOut>true</IsNotFilteredOut></a:Value></a:KeyValueOfDiagramObjectKeyanyTypezbwNTnLX><a:KeyValueOfDiagramObjectKeyanyTypezbwNTnLX><a:Key><Key>Diagram\TagGroups\Highlight Reasons\Tags\Hard Deletion Impact</Key></a:Key><a:Value i:type="DiagramDisplayTagViewState"><IsNotFilteredOut>true</IsNotFilteredOut></a:Value></a:KeyValueOfDiagramObjectKeyanyTypezbwNTnLX><a:KeyValueOfDiagramObjectKeyanyTypezbwNTnLX><a:Key><Key>Diagram\TagGroups\Highlight Reasons\Tags\Minimum Deletion Impact</Key></a:Key><a:Value i:type="DiagramDisplayTagViewState"><IsNotFilteredOut>true</IsNotFilteredOut></a:Value></a:KeyValueOfDiagramObjectKeyanyTypezbwNTnLX><a:KeyValueOfDiagramObjectKeyanyTypezbwNTnLX><a:Key><Key>Static Tags\Can be part of relationship</Key></a:Key><a:Value i:type="DiagramDisplayTagViewState"><IsNotFilteredOut>true</IsNotFilteredOut></a:Value></a:KeyValueOfDiagramObjectKeyanyTypezbwNTnLX><a:KeyValueOfDiagramObjectKeyanyTypezbwNTnLX><a:Key><Key>Static Tags\Hint Text</Key></a:Key><a:Value i:type="DiagramDisplayTagViewState"><IsNotFilteredOut>true</IsNotFilteredOut></a:Value></a:KeyValueOfDiagramObjectKeyanyTypezbwNTnLX><a:KeyValueOfDiagramObjectKeyanyTypezbwNTnLX><a:Key><Key>Dynamic Tags\Tables\&lt;Tables\tbl_Tasks_Clean&gt;</Key></a:Key><a:Value i:type="DiagramDisplayTagViewState"><IsNotFilteredOut>true</IsNotFilteredOut></a:Value></a:KeyValueOfDiagramObjectKeyanyTypezbwNTnLX><a:KeyValueOfDiagramObjectKeyanyTypezbwNTnLX><a:Key><Key>Dynamic Tags\Tables\&lt;Tables\tbl_Projects&gt;</Key></a:Key><a:Value i:type="DiagramDisplayTagViewState"><IsNotFilteredOut>true</IsNotFilteredOut></a:Value></a:KeyValueOfDiagramObjectKeyanyTypezbwNTnLX><a:KeyValueOfDiagramObjectKeyanyTypezbwNTnLX><a:Key><Key>Dynamic Tags\Tables\&lt;Tables\tbl_Employees&gt;</Key></a:Key><a:Value i:type="DiagramDisplayTagViewState"><IsNotFilteredOut>true</IsNotFilteredOut></a:Value></a:KeyValueOfDiagramObjectKeyanyTypezbwNTnLX><a:KeyValueOfDiagramObjectKeyanyTypezbwNTnLX><a:Key><Key>Tables\tbl_Tasks_Clean</Key></a:Key><a:Value i:type="DiagramDisplayNodeViewState"><Height>542</Height><IsExpanded>true</IsExpanded><LayedOut>true</LayedOut><Width>221.60000000000002</Width></a:Value></a:KeyValueOfDiagramObjectKeyanyTypezbwNTnLX><a:KeyValueOfDiagramObjectKeyanyTypezbwNTnLX><a:Key><Key>Tables\tbl_Tasks_Clean\Columns\Task_ID</Key></a:Key><a:Value i:type="DiagramDisplayNodeViewState"><Height>150</Height><IsExpanded>true</IsExpanded><Width>200</Width></a:Value></a:KeyValueOfDiagramObjectKeyanyTypezbwNTnLX><a:KeyValueOfDiagramObjectKeyanyTypezbwNTnLX><a:Key><Key>Tables\tbl_Tasks_Clean\Columns\Project_ID</Key></a:Key><a:Value i:type="DiagramDisplayNodeViewState"><Height>150</Height><IsExpanded>true</IsExpanded><Width>200</Width></a:Value></a:KeyValueOfDiagramObjectKeyanyTypezbwNTnLX><a:KeyValueOfDiagramObjectKeyanyTypezbwNTnLX><a:Key><Key>Tables\tbl_Tasks_Clean\Columns\Project_Name</Key></a:Key><a:Value i:type="DiagramDisplayNodeViewState"><Height>150</Height><IsExpanded>true</IsExpanded><Width>200</Width></a:Value></a:KeyValueOfDiagramObjectKeyanyTypezbwNTnLX><a:KeyValueOfDiagramObjectKeyanyTypezbwNTnLX><a:Key><Key>Tables\tbl_Tasks_Clean\Columns\Task_Name</Key></a:Key><a:Value i:type="DiagramDisplayNodeViewState"><Height>150</Height><IsExpanded>true</IsExpanded><Width>200</Width></a:Value></a:KeyValueOfDiagramObjectKeyanyTypezbwNTnLX><a:KeyValueOfDiagramObjectKeyanyTypezbwNTnLX><a:Key><Key>Tables\tbl_Tasks_Clean\Columns\Department</Key></a:Key><a:Value i:type="DiagramDisplayNodeViewState"><Height>150</Height><IsExpanded>true</IsExpanded><Width>200</Width></a:Value></a:KeyValueOfDiagramObjectKeyanyTypezbwNTnLX><a:KeyValueOfDiagramObjectKeyanyTypezbwNTnLX><a:Key><Key>Tables\tbl_Tasks_Clean\Columns\Assigned_To</Key></a:Key><a:Value i:type="DiagramDisplayNodeViewState"><Height>150</Height><IsExpanded>true</IsExpanded><Width>200</Width></a:Value></a:KeyValueOfDiagramObjectKeyanyTypezbwNTnLX><a:KeyValueOfDiagramObjectKeyanyTypezbwNTnLX><a:Key><Key>Tables\tbl_Tasks_Clean\Columns\Priority</Key></a:Key><a:Value i:type="DiagramDisplayNodeViewState"><Height>150</Height><IsExpanded>true</IsExpanded><Width>200</Width></a:Value></a:KeyValueOfDiagramObjectKeyanyTypezbwNTnLX><a:KeyValueOfDiagramObjectKeyanyTypezbwNTnLX><a:Key><Key>Tables\tbl_Tasks_Clean\Columns\Status</Key></a:Key><a:Value i:type="DiagramDisplayNodeViewState"><Height>150</Height><IsExpanded>true</IsExpanded><Width>200</Width></a:Value></a:KeyValueOfDiagramObjectKeyanyTypezbwNTnLX><a:KeyValueOfDiagramObjectKeyanyTypezbwNTnLX><a:Key><Key>Tables\tbl_Tasks_Clean\Columns\Start_Date</Key></a:Key><a:Value i:type="DiagramDisplayNodeViewState"><Height>150</Height><IsExpanded>true</IsExpanded><Width>200</Width></a:Value></a:KeyValueOfDiagramObjectKeyanyTypezbwNTnLX><a:KeyValueOfDiagramObjectKeyanyTypezbwNTnLX><a:Key><Key>Tables\tbl_Tasks_Clean\Columns\Planned_End_Date</Key></a:Key><a:Value i:type="DiagramDisplayNodeViewState"><Height>150</Height><IsExpanded>true</IsExpanded><Width>200</Width></a:Value></a:KeyValueOfDiagramObjectKeyanyTypezbwNTnLX><a:KeyValueOfDiagramObjectKeyanyTypezbwNTnLX><a:Key><Key>Tables\tbl_Tasks_Clean\Columns\Actual_End_Date</Key></a:Key><a:Value i:type="DiagramDisplayNodeViewState"><Height>150</Height><IsExpanded>true</IsExpanded><Width>200</Width></a:Value></a:KeyValueOfDiagramObjectKeyanyTypezbwNTnLX><a:KeyValueOfDiagramObjectKeyanyTypezbwNTnLX><a:Key><Key>Tables\tbl_Tasks_Clean\Columns\Planned_Cost</Key></a:Key><a:Value i:type="DiagramDisplayNodeViewState"><Height>150</Height><IsExpanded>true</IsExpanded><Width>200</Width></a:Value></a:KeyValueOfDiagramObjectKeyanyTypezbwNTnLX><a:KeyValueOfDiagramObjectKeyanyTypezbwNTnLX><a:Key><Key>Tables\tbl_Tasks_Clean\Columns\Actual_Cost</Key></a:Key><a:Value i:type="DiagramDisplayNodeViewState"><Height>150</Height><IsExpanded>true</IsExpanded><Width>200</Width></a:Value></a:KeyValueOfDiagramObjectKeyanyTypezbwNTnLX><a:KeyValueOfDiagramObjectKeyanyTypezbwNTnLX><a:Key><Key>Tables\tbl_Tasks_Clean\Columns\Planned_Duration_Days</Key></a:Key><a:Value i:type="DiagramDisplayNodeViewState"><Height>150</Height><IsExpanded>true</IsExpanded><Width>200</Width></a:Value></a:KeyValueOfDiagramObjectKeyanyTypezbwNTnLX><a:KeyValueOfDiagramObjectKeyanyTypezbwNTnLX><a:Key><Key>Tables\tbl_Tasks_Clean\Columns\Delay_Days</Key></a:Key><a:Value i:type="DiagramDisplayNodeViewState"><Height>150</Height><IsExpanded>true</IsExpanded><Width>200</Width></a:Value></a:KeyValueOfDiagramObjectKeyanyTypezbwNTnLX><a:KeyValueOfDiagramObjectKeyanyTypezbwNTnLX><a:Key><Key>Tables\tbl_Tasks_Clean\Columns\Client</Key></a:Key><a:Value i:type="DiagramDisplayNodeViewState"><Height>150</Height><IsExpanded>true</IsExpanded><Width>200</Width></a:Value></a:KeyValueOfDiagramObjectKeyanyTypezbwNTnLX><a:KeyValueOfDiagramObjectKeyanyTypezbwNTnLX><a:Key><Key>Tables\tbl_Tasks_Clean\Columns\Project_Manager</Key></a:Key><a:Value i:type="DiagramDisplayNodeViewState"><Height>150</Height><IsExpanded>true</IsExpanded><Width>200</Width></a:Value></a:KeyValueOfDiagramObjectKeyanyTypezbwNTnLX><a:KeyValueOfDiagramObjectKeyanyTypezbwNTnLX><a:Key><Key>Tables\tbl_Tasks_Clean\Columns\Start_Date.1</Key></a:Key><a:Value i:type="DiagramDisplayNodeViewState"><Height>150</Height><IsExpanded>true</IsExpanded><Width>200</Width></a:Value></a:KeyValueOfDiagramObjectKeyanyTypezbwNTnLX><a:KeyValueOfDiagramObjectKeyanyTypezbwNTnLX><a:Key><Key>Tables\tbl_Tasks_Clean\Columns\Budget</Key></a:Key><a:Value i:type="DiagramDisplayNodeViewState"><Height>150</Height><IsExpanded>true</IsExpanded><Width>200</Width></a:Value></a:KeyValueOfDiagramObjectKeyanyTypezbwNTnLX><a:KeyValueOfDiagramObjectKeyanyTypezbwNTnLX><a:Key><Key>Tables\tbl_Tasks_Clean\Columns\Employee_ID</Key></a:Key><a:Value i:type="DiagramDisplayNodeViewState"><Height>150</Height><IsExpanded>true</IsExpanded><Width>200</Width></a:Value></a:KeyValueOfDiagramObjectKeyanyTypezbwNTnLX><a:KeyValueOfDiagramObjectKeyanyTypezbwNTnLX><a:Key><Key>Tables\tbl_Tasks_Clean\Columns\Role</Key></a:Key><a:Value i:type="DiagramDisplayNodeViewState"><Height>150</Height><IsExpanded>true</IsExpanded><Width>200</Width></a:Value></a:KeyValueOfDiagramObjectKeyanyTypezbwNTnLX><a:KeyValueOfDiagramObjectKeyanyTypezbwNTnLX><a:Key><Key>Tables\tbl_Tasks_Clean\Columns\Hourly_Rate</Key></a:Key><a:Value i:type="DiagramDisplayNodeViewState"><Height>150</Height><IsExpanded>true</IsExpanded><Width>200</Width></a:Value></a:KeyValueOfDiagramObjectKeyanyTypezbwNTnLX><a:KeyValueOfDiagramObjectKeyanyTypezbwNTnLX><a:Key><Key>Tables\tbl_Tasks_Clean\Columns\Cost_Variance</Key></a:Key><a:Value i:type="DiagramDisplayNodeViewState"><Height>150</Height><IsExpanded>true</IsExpanded><Width>200</Width></a:Value></a:KeyValueOfDiagramObjectKeyanyTypezbwNTnLX><a:KeyValueOfDiagramObjectKeyanyTypezbwNTnLX><a:Key><Key>Tables\tbl_Tasks_Clean\Columns\Cost_Variance_%</Key></a:Key><a:Value i:type="DiagramDisplayNodeViewState"><Height>150</Height><IsExpanded>true</IsExpanded><Width>200</Width></a:Value></a:KeyValueOfDiagramObjectKeyanyTypezbwNTnLX><a:KeyValueOfDiagramObjectKeyanyTypezbwNTnLX><a:Key><Key>Tables\tbl_Tasks_Clean\Columns\On_Time_Flag</Key></a:Key><a:Value i:type="DiagramDisplayNodeViewState"><Height>150</Height><IsExpanded>true</IsExpanded><Width>200</Width></a:Value></a:KeyValueOfDiagramObjectKeyanyTypezbwNTnLX><a:KeyValueOfDiagramObjectKeyanyTypezbwNTnLX><a:Key><Key>Tables\tbl_Tasks_Clean\Columns\Task_Age_Category</Key></a:Key><a:Value i:type="DiagramDisplayNodeViewState"><Height>150</Height><IsExpanded>true</IsExpanded><Width>200</Width></a:Value></a:KeyValueOfDiagramObjectKeyanyTypezbwNTnLX><a:KeyValueOfDiagramObjectKeyanyTypezbwNTnLX><a:Key><Key>Tables\tbl_Tasks_Clean\Columns\Manager_Lookup</Key></a:Key><a:Value i:type="DiagramDisplayNodeViewState"><Height>150</Height><IsExpanded>true</IsExpanded><Width>200</Width></a:Value></a:KeyValueOfDiagramObjectKeyanyTypezbwNTnLX><a:KeyValueOfDiagramObjectKeyanyTypezbwNTnLX><a:Key><Key>Tables\tbl_Tasks_Clean\Measures\Sum of Planned_Cost</Key></a:Key><a:Value i:type="DiagramDisplayNodeViewState"><Height>150</Height><IsExpanded>true</IsExpanded><Width>200</Width></a:Value></a:KeyValueOfDiagramObjectKeyanyTypezbwNTnLX><a:KeyValueOfDiagramObjectKeyanyTypezbwNTnLX><a:Key><Key>Tables\tbl_Tasks_Clean\Sum of Planned_Cost\Additional Info\Implicit Measure</Key></a:Key><a:Value i:type="DiagramDisplayViewStateIDiagramTagAdditionalInfo"/></a:KeyValueOfDiagramObjectKeyanyTypezbwNTnLX><a:KeyValueOfDiagramObjectKeyanyTypezbwNTnLX><a:Key><Key>Tables\tbl_Tasks_Clean\Measures\Sum of Actual_Cost</Key></a:Key><a:Value i:type="DiagramDisplayNodeViewState"><Height>150</Height><IsExpanded>true</IsExpanded><Width>200</Width></a:Value></a:KeyValueOfDiagramObjectKeyanyTypezbwNTnLX><a:KeyValueOfDiagramObjectKeyanyTypezbwNTnLX><a:Key><Key>Tables\tbl_Tasks_Clean\Sum of Actual_Cost\Additional Info\Implicit Measure</Key></a:Key><a:Value i:type="DiagramDisplayViewStateIDiagramTagAdditionalInfo"/></a:KeyValueOfDiagramObjectKeyanyTypezbwNTnLX><a:KeyValueOfDiagramObjectKeyanyTypezbwNTnLX><a:Key><Key>Tables\tbl_Tasks_Clean\Measures\Total Planned Cost</Key></a:Key><a:Value i:type="DiagramDisplayNodeViewState"><Height>150</Height><IsExpanded>true</IsExpanded><Width>200</Width></a:Value></a:KeyValueOfDiagramObjectKeyanyTypezbwNTnLX><a:KeyValueOfDiagramObjectKeyanyTypezbwNTnLX><a:Key><Key>Tables\tbl_Tasks_Clean\Measures\Total Actual Cost</Key></a:Key><a:Value i:type="DiagramDisplayNodeViewState"><Height>150</Height><IsExpanded>true</IsExpanded><Width>200</Width></a:Value></a:KeyValueOfDiagramObjectKeyanyTypezbwNTnLX><a:KeyValueOfDiagramObjectKeyanyTypezbwNTnLX><a:Key><Key>Tables\tbl_Tasks_Clean\Measures\Cost Variance</Key></a:Key><a:Value i:type="DiagramDisplayNodeViewState"><Height>150</Height><IsExpanded>true</IsExpanded><Width>200</Width></a:Value></a:KeyValueOfDiagramObjectKeyanyTypezbwNTnLX><a:KeyValueOfDiagramObjectKeyanyTypezbwNTnLX><a:Key><Key>Tables\tbl_Tasks_Clean\Measures\Cost Variance %</Key></a:Key><a:Value i:type="DiagramDisplayNodeViewState"><Height>150</Height><IsExpanded>true</IsExpanded><Width>200</Width></a:Value></a:KeyValueOfDiagramObjectKeyanyTypezbwNTnLX><a:KeyValueOfDiagramObjectKeyanyTypezbwNTnLX><a:Key><Key>Tables\tbl_Tasks_Clean\Measures\Completed Tasks</Key></a:Key><a:Value i:type="DiagramDisplayNodeViewState"><Height>150</Height><IsExpanded>true</IsExpanded><Width>200</Width></a:Value></a:KeyValueOfDiagramObjectKeyanyTypezbwNTnLX><a:KeyValueOfDiagramObjectKeyanyTypezbwNTnLX><a:Key><Key>Tables\tbl_Tasks_Clean\Measures\On-Time Completion Rate</Key></a:Key><a:Value i:type="DiagramDisplayNodeViewState"><Height>150</Height><IsExpanded>true</IsExpanded><Width>200</Width></a:Value></a:KeyValueOfDiagramObjectKeyanyTypezbwNTnLX><a:KeyValueOfDiagramObjectKeyanyTypezbwNTnLX><a:Key><Key>Tables\tbl_Tasks_Clean\Measures\Average Delay Days</Key></a:Key><a:Value i:type="DiagramDisplayNodeViewState"><Height>150</Height><IsExpanded>true</IsExpanded><Width>200</Width></a:Value></a:KeyValueOfDiagramObjectKeyanyTypezbwNTnLX><a:KeyValueOfDiagramObjectKeyanyTypezbwNTnLX><a:Key><Key>Tables\tbl_Projects</Key></a:Key><a:Value i:type="DiagramDisplayNodeViewState"><Height>351.6</Height><IsExpanded>true</IsExpanded><LayedOut>true</LayedOut><Left>579.60000000000014</Left><TabIndex>1</TabIndex><Width>258.40000000000003</Width></a:Value></a:KeyValueOfDiagramObjectKeyanyTypezbwNTnLX><a:KeyValueOfDiagramObjectKeyanyTypezbwNTnLX><a:Key><Key>Tables\tbl_Projects\Columns\Project_ID</Key></a:Key><a:Value i:type="DiagramDisplayNodeViewState"><Height>150</Height><IsExpanded>true</IsExpanded><Width>200</Width></a:Value></a:KeyValueOfDiagramObjectKeyanyTypezbwNTnLX><a:KeyValueOfDiagramObjectKeyanyTypezbwNTnLX><a:Key><Key>Tables\tbl_Projects\Columns\Project_Name</Key></a:Key><a:Value i:type="DiagramDisplayNodeViewState"><Height>150</Height><IsExpanded>true</IsExpanded><Width>200</Width></a:Value></a:KeyValueOfDiagramObjectKeyanyTypezbwNTnLX><a:KeyValueOfDiagramObjectKeyanyTypezbwNTnLX><a:Key><Key>Tables\tbl_Projects\Columns\Client</Key></a:Key><a:Value i:type="DiagramDisplayNodeViewState"><Height>150</Height><IsExpanded>true</IsExpanded><Width>200</Width></a:Value></a:KeyValueOfDiagramObjectKeyanyTypezbwNTnLX><a:KeyValueOfDiagramObjectKeyanyTypezbwNTnLX><a:Key><Key>Tables\tbl_Projects\Columns\Project_Manager</Key></a:Key><a:Value i:type="DiagramDisplayNodeViewState"><Height>150</Height><IsExpanded>true</IsExpanded><Width>200</Width></a:Value></a:KeyValueOfDiagramObjectKeyanyTypezbwNTnLX><a:KeyValueOfDiagramObjectKeyanyTypezbwNTnLX><a:Key><Key>Tables\tbl_Projects\Columns\Start_Date</Key></a:Key><a:Value i:type="DiagramDisplayNodeViewState"><Height>150</Height><IsExpanded>true</IsExpanded><Width>200</Width></a:Value></a:KeyValueOfDiagramObjectKeyanyTypezbwNTnLX><a:KeyValueOfDiagramObjectKeyanyTypezbwNTnLX><a:Key><Key>Tables\tbl_Projects\Columns\Budget</Key></a:Key><a:Value i:type="DiagramDisplayNodeViewState"><Height>150</Height><IsExpanded>true</IsExpanded><Width>200</Width></a:Value></a:KeyValueOfDiagramObjectKeyanyTypezbwNTnLX><a:KeyValueOfDiagramObjectKeyanyTypezbwNTnLX><a:Key><Key>Tables\tbl_Employees</Key></a:Key><a:Value i:type="DiagramDisplayNodeViewState"><Height>150</Height><IsExpanded>true</IsExpanded><LayedOut>true</LayedOut><Left>452.00000000000023</Left><TabIndex>2</TabIndex><Top>410</Top><Width>200</Width></a:Value></a:KeyValueOfDiagramObjectKeyanyTypezbwNTnLX><a:KeyValueOfDiagramObjectKeyanyTypezbwNTnLX><a:Key><Key>Tables\tbl_Employees\Columns\Employee_ID</Key></a:Key><a:Value i:type="DiagramDisplayNodeViewState"><Height>150</Height><IsExpanded>true</IsExpanded><Width>200</Width></a:Value></a:KeyValueOfDiagramObjectKeyanyTypezbwNTnLX><a:KeyValueOfDiagramObjectKeyanyTypezbwNTnLX><a:Key><Key>Tables\tbl_Employees\Columns\Employee_Name</Key></a:Key><a:Value i:type="DiagramDisplayNodeViewState"><Height>150</Height><IsExpanded>true</IsExpanded><Width>200</Width></a:Value></a:KeyValueOfDiagramObjectKeyanyTypezbwNTnLX><a:KeyValueOfDiagramObjectKeyanyTypezbwNTnLX><a:Key><Key>Tables\tbl_Employees\Columns\Department</Key></a:Key><a:Value i:type="DiagramDisplayNodeViewState"><Height>150</Height><IsExpanded>true</IsExpanded><Width>200</Width></a:Value></a:KeyValueOfDiagramObjectKeyanyTypezbwNTnLX><a:KeyValueOfDiagramObjectKeyanyTypezbwNTnLX><a:Key><Key>Tables\tbl_Employees\Columns\Role</Key></a:Key><a:Value i:type="DiagramDisplayNodeViewState"><Height>150</Height><IsExpanded>true</IsExpanded><Width>200</Width></a:Value></a:KeyValueOfDiagramObjectKeyanyTypezbwNTnLX><a:KeyValueOfDiagramObjectKeyanyTypezbwNTnLX><a:Key><Key>Tables\tbl_Employees\Columns\Hourly_Rate</Key></a:Key><a:Value i:type="DiagramDisplayNodeViewState"><Height>150</Height><IsExpanded>true</IsExpanded><Width>200</Width></a:Value></a:KeyValueOfDiagramObjectKeyanyTypezbwNTnLX><a:KeyValueOfDiagramObjectKeyanyTypezbwNTnLX><a:Key><Key>Relationships\&lt;Tables\tbl_Tasks_Clean\Columns\Project_ID&gt;-&lt;Tables\tbl_Projects\Columns\Project_ID&gt;</Key></a:Key><a:Value i:type="DiagramDisplayLinkViewState"><AutomationPropertyHelperText>End point 1: (237.6,271). End point 2: (563.6,175.8) </AutomationPropertyHelperText><LayedOut>true</LayedOut><Points xmlns:b="http://schemas.datacontract.org/2004/07/System.Windows"><b:Point><b:_x>237.60000000000002</b:_x><b:_y>271</b:_y></b:Point><b:Point><b:_x>398.6</b:_x><b:_y>271</b:_y></b:Point><b:Point><b:_x>400.6</b:_x><b:_y>269</b:_y></b:Point><b:Point><b:_x>400.6</b:_x><b:_y>177.8</b:_y></b:Point><b:Point><b:_x>402.6</b:_x><b:_y>175.8</b:_y></b:Point><b:Point><b:_x>563.60000000000014</b:_x><b:_y>175.8</b:_y></b:Point></Points></a:Value></a:KeyValueOfDiagramObjectKeyanyTypezbwNTnLX><a:KeyValueOfDiagramObjectKeyanyTypezbwNTnLX><a:Key><Key>Relationships\&lt;Tables\tbl_Tasks_Clean\Columns\Project_ID&gt;-&lt;Tables\tbl_Projects\Columns\Project_ID&gt;\FK</Key></a:Key><a:Value i:type="DiagramDisplayLinkEndpointViewState"><Height>16</Height><LabelLocation xmlns:b="http://schemas.datacontract.org/2004/07/System.Windows"><b:_x>221.60000000000002</b:_x><b:_y>263</b:_y></LabelLocation><Location xmlns:b="http://schemas.datacontract.org/2004/07/System.Windows"><b:_x>221.60000000000002</b:_x><b:_y>271</b:_y></Location><ShapeRotateAngle>360</ShapeRotateAngle><Width>16</Width></a:Value></a:KeyValueOfDiagramObjectKeyanyTypezbwNTnLX><a:KeyValueOfDiagramObjectKeyanyTypezbwNTnLX><a:Key><Key>Relationships\&lt;Tables\tbl_Tasks_Clean\Columns\Project_ID&gt;-&lt;Tables\tbl_Projects\Columns\Project_ID&gt;\PK</Key></a:Key><a:Value i:type="DiagramDisplayLinkEndpointViewState"><Height>16</Height><LabelLocation xmlns:b="http://schemas.datacontract.org/2004/07/System.Windows"><b:_x>563.60000000000014</b:_x><b:_y>167.8</b:_y></LabelLocation><Location xmlns:b="http://schemas.datacontract.org/2004/07/System.Windows"><b:_x>579.60000000000025</b:_x><b:_y>175.8</b:_y></Location><ShapeRotateAngle>180</ShapeRotateAngle><Width>16</Width></a:Value></a:KeyValueOfDiagramObjectKeyanyTypezbwNTnLX><a:KeyValueOfDiagramObjectKeyanyTypezbwNTnLX><a:Key><Key>Relationships\&lt;Tables\tbl_Tasks_Clean\Columns\Project_ID&gt;-&lt;Tables\tbl_Projects\Columns\Project_ID&gt;\CrossFilter</Key></a:Key><a:Value i:type="DiagramDisplayLinkCrossFilterViewState"><Points xmlns:b="http://schemas.datacontract.org/2004/07/System.Windows"><b:Point><b:_x>237.60000000000002</b:_x><b:_y>271</b:_y></b:Point><b:Point><b:_x>398.6</b:_x><b:_y>271</b:_y></b:Point><b:Point><b:_x>400.6</b:_x><b:_y>269</b:_y></b:Point><b:Point><b:_x>400.6</b:_x><b:_y>177.8</b:_y></b:Point><b:Point><b:_x>402.6</b:_x><b:_y>175.8</b:_y></b:Point><b:Point><b:_x>563.60000000000014</b:_x><b:_y>175.8</b:_y></b:Point></Points></a:Value></a:KeyValueOfDiagramObjectKeyanyTypezbwNTnLX><a:KeyValueOfDiagramObjectKeyanyTypezbwNTnLX><a:Key><Key>Relationships\&lt;Tables\tbl_Tasks_Clean\Columns\Assigned_To&gt;-&lt;Tables\tbl_Employees\Columns\Employee_Name&gt;</Key></a:Key><a:Value i:type="DiagramDisplayLinkViewState"><AutomationPropertyHelperText>End point 1: (110.8,558). End point 2: (436,485) </AutomationPropertyHelperText><LayedOut>true</LayedOut><Points xmlns:b="http://schemas.datacontract.org/2004/07/System.Windows"><b:Point><b:_x>110.8</b:_x><b:_y>558</b:_y></b:Point><b:Point><b:_x>110.8</b:_x><b:_y>559.5</b:_y></b:Point><b:Point><b:_x>112.8</b:_x><b:_y>561.5</b:_y></b:Point><b:Point><b:_x>279.4</b:_x><b:_y>561.5</b:_y></b:Point><b:Point><b:_x>281.4</b:_x><b:_y>559.5</b:_y></b:Point><b:Point><b:_x>281.4</b:_x><b:_y>487</b:_y></b:Point><b:Point><b:_x>283.4</b:_x><b:_y>485</b:_y></b:Point><b:Point><b:_x>436.00000000000045</b:_x><b:_y>485</b:_y></b:Point></Points></a:Value></a:KeyValueOfDiagramObjectKeyanyTypezbwNTnLX><a:KeyValueOfDiagramObjectKeyanyTypezbwNTnLX><a:Key><Key>Relationships\&lt;Tables\tbl_Tasks_Clean\Columns\Assigned_To&gt;-&lt;Tables\tbl_Employees\Columns\Employee_Name&gt;\FK</Key></a:Key><a:Value i:type="DiagramDisplayLinkEndpointViewState"><Height>16</Height><LabelLocation xmlns:b="http://schemas.datacontract.org/2004/07/System.Windows"><b:_x>102.8</b:_x><b:_y>542</b:_y></LabelLocation><Location xmlns:b="http://schemas.datacontract.org/2004/07/System.Windows"><b:_x>110.8</b:_x><b:_y>542</b:_y></Location><ShapeRotateAngle>90</ShapeRotateAngle><Width>16</Width></a:Value></a:KeyValueOfDiagramObjectKeyanyTypezbwNTnLX><a:KeyValueOfDiagramObjectKeyanyTypezbwNTnLX><a:Key><Key>Relationships\&lt;Tables\tbl_Tasks_Clean\Columns\Assigned_To&gt;-&lt;Tables\tbl_Employees\Columns\Employee_Name&gt;\PK</Key></a:Key><a:Value i:type="DiagramDisplayLinkEndpointViewState"><Height>16</Height><LabelLocation xmlns:b="http://schemas.datacontract.org/2004/07/System.Windows"><b:_x>436.00000000000045</b:_x><b:_y>477</b:_y></LabelLocation><Location xmlns:b="http://schemas.datacontract.org/2004/07/System.Windows"><b:_x>452.00000000000045</b:_x><b:_y>485</b:_y></Location><ShapeRotateAngle>180</ShapeRotateAngle><Width>16</Width></a:Value></a:KeyValueOfDiagramObjectKeyanyTypezbwNTnLX><a:KeyValueOfDiagramObjectKeyanyTypezbwNTnLX><a:Key><Key>Relationships\&lt;Tables\tbl_Tasks_Clean\Columns\Assigned_To&gt;-&lt;Tables\tbl_Employees\Columns\Employee_Name&gt;\CrossFilter</Key></a:Key><a:Value i:type="DiagramDisplayLinkCrossFilterViewState"><Points xmlns:b="http://schemas.datacontract.org/2004/07/System.Windows"><b:Point><b:_x>110.8</b:_x><b:_y>558</b:_y></b:Point><b:Point><b:_x>110.8</b:_x><b:_y>559.5</b:_y></b:Point><b:Point><b:_x>112.8</b:_x><b:_y>561.5</b:_y></b:Point><b:Point><b:_x>279.4</b:_x><b:_y>561.5</b:_y></b:Point><b:Point><b:_x>281.4</b:_x><b:_y>559.5</b:_y></b:Point><b:Point><b:_x>281.4</b:_x><b:_y>487</b:_y></b:Point><b:Point><b:_x>283.4</b:_x><b:_y>485</b:_y></b:Point><b:Point><b:_x>436.00000000000045</b:_x><b:_y>485</b:_y></b:Point></Points></a:Value></a:KeyValueOfDiagramObjectKeyanyTypezbwNTnLX></ViewStates></DiagramManager.SerializableDiagram><DiagramManager.SerializableDiagram><Adapter i:type="MeasureDiagramSandboxAdapter"><TableName>tbl_Tasks_Clean</TableName></Adapter><DiagramType>MeasureDiagram</DiagramType><DisplayContext i:type="MeasureGridDisplayContext"><ColumnTagKey><Key>Static Tags\Column</Key></ColumnTagKey><ErrorsTagGroupKey><Key>TagGroups\Errors</Key></ErrorsTagGroupKey><FormulaTagKey><Key>Static Tags\Formula</Key></FormulaTagKey><HiddenTagKey><Key>Static Tags\Hidden</Key></HiddenTagKey><HostType>ModelerWindow</HostType><ImplicitMeasureSourceColumnLinkTagKey><Key>Static Tags\Implicit Measure and Source Column Link</Key></ImplicitMeasureSourceColumnLinkTagKey><ImplicitMeasureTagKey><Key>Static Tags\Is implicit measure</Key></ImplicitMeasureTagKey><KpiTagKey><Key>Static Tags\KPI</Key></KpiTagKey><MeasureTagKey><Key>Static Tags\Measure</Key></MeasureTagKey><ValueTagKey><Key>Static Tags\Value</Key></ValueTagKey></DisplayContext><DisplayType>MeasureGrid</DisplayType><Key i:type="SandboxEditorMeasureGridKey"><TableName>tbl_Tasks_Clean</TableName></Key><Maintainer i:type="MeasureDiagram.MeasureDiagramMaintainer"><AllKeys><DiagramObjectKey><Key>Measure Diagram</Key></DiagramObjectKey><DiagramObjectKey><Key>Actions\Delete</Key></DiagramObjectKey><DiagramObjectKey><Key>Actions\Convert to KPI</Key></DiagramObjectKey><DiagramObjectKey><Key>Actions\Edit KPI</Key></DiagramObjectKey><DiagramObjectKey><Key>Actions\Remove KPI</Key></DiagramObjectKey><DiagramObjectKey><Key>Actions\Copy Measure</Key></DiagramObjectKey><DiagramObjectKey><Key>Actions\AutoMeasure_Sum</Key></DiagramObjectKey><DiagramObjectKey><Key>Actions\AutoMeasure_Count</Key></DiagramObjectKey><DiagramObjectKey><Key>Actions\AutoMeasure_Average</Key></DiagramObjectKey><DiagramObjectKey><Key>Actions\AutoMeasure_Max</Key></DiagramObjectKey><DiagramObjectKey><Key>Actions\AutoMeasure_Min</Key></DiagramObjectKey><DiagramObjectKey><Key>Actions\AutoMeasure_StdDev</Key></DiagramObjectKey><DiagramObjectKey><Key>Actions\AutoMeasure_StdDevp</Key></DiagramObjectKey><DiagramObjectKey><Key>Actions\AutoMeasure_Var</Key></DiagramObjectKey><DiagramObjectKey><Key>Actions\AutoMeasure_Varp</Key></DiagramObjectKey><DiagramObjectKey><Key>Actions\AutoMeasure_DistinctCount</Key></DiagramObjectKey><DiagramObjectKey><Key>Actions\Edit</Key></DiagramObjectKey><DiagramObjectKey><Key>Actions\Create</Key></DiagramObjectKey><DiagramObjectKey><Key>Actions\Format</Key></DiagramObjectKey><DiagramObjectKey><Key>Actions\Edit Description</Key></DiagramObjectKey><DiagramObjectKey><Key>Actions\Hide Measures</Key></DiagramObjectKey><DiagramObjectKey><Key>Actions\Unhide Measures</Key></DiagramObjectKey><DiagramObjectKey><Key>TagGroups\Types</Key></DiagramObjectKey><DiagramObjectKey><Key>TagGroups\Link Types</Key></DiagramObjectKey><DiagramObjectKey><Key>TagGroups\KPI</Key></DiagramObjectKey><DiagramObjectKey><Key>TagGroups\Errors</Key></DiagramObjectKey><DiagramObjectKey><Key>TagGroups\Values and Formulas</Key></DiagramObjectKey><DiagramObjectKey><Key>TagGroups\State</Key></DiagramObjectKey><DiagramObjectKey><Key>Static Tags\Column</Key></DiagramObjectKey><DiagramObjectKey><Key>Static Tags\Measure</Key></DiagramObjectKey><DiagramObjectKey><Key>Static Tags\Implicit Measure and Source Column Link</Key></DiagramObjectKey><DiagramObjectKey><Key>Static Tags\KPI</Key></DiagramObjectKey><DiagramObjectKey><Key>Static Tags\Semantic Error</Key></DiagramObjectKey><DiagramObjectKey><Key>Static Tags\Calculation Error</Key></DiagramObjectKey><DiagramObjectKey><Key>Static Tags\Value</Key></DiagramObjectKey><DiagramObjectKey><Key>Static Tags\Formula</Key></DiagramObjectKey><DiagramObjectKey><Key>Static Tags\Evaluation in progress</Key></DiagramObjectKey><DiagramObjectKey><Key>Static Tags\Is implicit measure</Key></DiagramObjectKey><DiagramObjectKey><Key>Static Tags\Hidden</Key></DiagramObjectKey><DiagramObjectKey><Key>Static Tags\Not in perspective</Key></DiagramObjectKey><DiagramObjectKey><Key>Static Tags\Is readonly</Key></DiagramObjectKey><DiagramObjectKey><Key>Measures\Sum of Planned_Cost</Key></DiagramObjectKey><DiagramObjectKey><Key>Measures\Sum of Planned_Cost\TagInfo\Formula</Key></DiagramObjectKey><DiagramObjectKey><Key>Measures\Sum of Planned_Cost\TagInfo\Value</Key></DiagramObjectKey><DiagramObjectKey><Key>Measures\Sum of Actual_Cost</Key></DiagramObjectKey><DiagramObjectKey><Key>Measures\Sum of Actual_Cost\TagInfo\Formula</Key></DiagramObjectKey><DiagramObjectKey><Key>Measures\Sum of Actual_Cost\TagInfo\Value</Key></DiagramObjectKey><DiagramObjectKey><Key>Measures\Total Planned Cost</Key></DiagramObjectKey><DiagramObjectKey><Key>Measures\Total Planned Cost\TagInfo\Formula</Key></DiagramObjectKey><DiagramObjectKey><Key>Measures\Total Planned Cost\TagInfo\Value</Key></DiagramObjectKey><DiagramObjectKey><Key>Measures\Total Actual Cost</Key></DiagramObjectKey><DiagramObjectKey><Key>Measures\Total Actual Cost\TagInfo\Formula</Key></DiagramObjectKey><DiagramObjectKey><Key>Measures\Total Actual Cost\TagInfo\Value</Key></DiagramObjectKey><DiagramObjectKey><Key>Measures\Cost Variance</Key></DiagramObjectKey><DiagramObjectKey><Key>Measures\Cost Variance\TagInfo\Formula</Key></DiagramObjectKey><DiagramObjectKey><Key>Measures\Cost Variance\TagInfo\Value</Key></DiagramObjectKey><DiagramObjectKey><Key>Measures\Cost Variance %</Key></DiagramObjectKey><DiagramObjectKey><Key>Measures\Cost Variance %\TagInfo\Formula</Key></DiagramObjectKey><DiagramObjectKey><Key>Measures\Cost Variance %\TagInfo\Value</Key></DiagramObjectKey><DiagramObjectKey><Key>Measures\Completed Tasks</Key></DiagramObjectKey><DiagramObjectKey><Key>Measures\Completed Tasks\TagInfo\Formula</Key></DiagramObjectKey><DiagramObjectKey><Key>Measures\Completed Tasks\TagInfo\Value</Key></DiagramObjectKey><DiagramObjectKey><Key>Measures\On-Time Completion Rate</Key></DiagramObjectKey><DiagramObjectKey><Key>Measures\On-Time Completion Rate\TagInfo\Formula</Key></DiagramObjectKey><DiagramObjectKey><Key>Measures\On-Time Completion Rate\TagInfo\Value</Key></DiagramObjectKey><DiagramObjectKey><Key>Measures\Average Delay Days</Key></DiagramObjectKey><DiagramObjectKey><Key>Measures\Average Delay Days\TagInfo\Formula</Key></DiagramObjectKey><DiagramObjectKey><Key>Measures\Average Delay Days\TagInfo\Value</Key></DiagramObjectKey><DiagramObjectKey><Key>Columns\Task_ID</Key></DiagramObjectKey><DiagramObjectKey><Key>Columns\Project_ID</Key></DiagramObjectKey><DiagramObjectKey><Key>Columns\Project_Name</Key></DiagramObjectKey><DiagramObjectKey><Key>Columns\Task_Name</Key></DiagramObjectKey><DiagramObjectKey><Key>Columns\Department</Key></DiagramObjectKey><DiagramObjectKey><Key>Columns\Assigned_To</Key></DiagramObjectKey><DiagramObjectKey><Key>Columns\Priority</Key></DiagramObjectKey><DiagramObjectKey><Key>Columns\Status</Key></DiagramObjectKey><DiagramObjectKey><Key>Columns\Start_Date</Key></DiagramObjectKey><DiagramObjectKey><Key>Columns\Planned_End_Date</Key></DiagramObjectKey><DiagramObjectKey><Key>Columns\Actual_End_Date</Key></DiagramObjectKey><DiagramObjectKey><Key>Columns\Planned_Cost</Key></DiagramObjectKey><DiagramObjectKey><Key>Columns\Actual_Cost</Key></DiagramObjectKey><DiagramObjectKey><Key>Columns\Planned_Duration_Days</Key></DiagramObjectKey><DiagramObjectKey><Key>Columns\Delay_Days</Key></DiagramObjectKey><DiagramObjectKey><Key>Columns\Client</Key></DiagramObjectKey><DiagramObjectKey><Key>Columns\Project_Manager</Key></DiagramObjectKey><DiagramObjectKey><Key>Columns\Start_Date.1</Key></DiagramObjectKey><DiagramObjectKey><Key>Columns\Budget</Key></DiagramObjectKey><DiagramObjectKey><Key>Columns\Employee_ID</Key></DiagramObjectKey><DiagramObjectKey><Key>Columns\Role</Key></DiagramObjectKey><DiagramObjectKey><Key>Columns\Hourly_Rate</Key></DiagramObjectKey><DiagramObjectKey><Key>Columns\Cost_Variance</Key></DiagramObjectKey><DiagramObjectKey><Key>Columns\Cost_Variance_%</Key></DiagramObjectKey><DiagramObjectKey><Key>Columns\On_Time_Flag</Key></DiagramObjectKey><DiagramObjectKey><Key>Columns\Task_Age_Category</Key></DiagramObjectKey><DiagramObjectKey><Key>Columns\Manager_Lookup</Key></DiagramObjectKey><DiagramObjectKey><Key>Links\&lt;Columns\Sum of Planned_Cost&gt;-&lt;Measures\Planned_Cost&gt;</Key></DiagramObjectKey><DiagramObjectKey><Key>Links\&lt;Columns\Sum of Planned_Cost&gt;-&lt;Measures\Planned_Cost&gt;\COLUMN</Key></DiagramObjectKey><DiagramObjectKey><Key>Links\&lt;Columns\Sum of Planned_Cost&gt;-&lt;Measures\Planned_Cost&gt;\MEASURE</Key></DiagramObjectKey><DiagramObjectKey><Key>Links\&lt;Columns\Sum of Actual_Cost&gt;-&lt;Measures\Actual_Cost&gt;</Key></DiagramObjectKey><DiagramObjectKey><Key>Links\&lt;Columns\Sum of Actual_Cost&gt;-&lt;Measures\Actual_Cost&gt;\COLUMN</Key></DiagramObjectKey><DiagramObjectKey><Key>Links\&lt;Columns\Sum of Actual_Cost&gt;-&lt;Measures\Actual_Cost&gt;\MEASURE</Key></DiagramObjectKey></AllKeys><SelectedKeys/></Maintainer><ViewStateFactoryType>Microsoft.AnalysisServices.Common.MeasureGridViewStateFactory</ViewStateFactoryType><ViewStates xmlns:a="http://schemas.microsoft.com/2003/10/Serialization/Arrays"><a:KeyValueOfDiagramObjectKeyanyTypezbwNTnLX><a:Key><Key>Measure Diagram</Key></a:Key><a:Value i:type="MeasureGridDiagramViewState"><FocusColumn>1</FocusColumn><FocusRow>7</FocusRow><SelectionEndColumn>1</SelectionEndColumn><SelectionEndRow>7</SelectionEndRow><SelectionStartColumn>1</SelectionStartColumn><SelectionStartRow>7</SelectionStartRow><Texts/></a:Value></a:KeyValueOfDiagramObjectKeyanyTypezbwNTnLX><a:KeyValueOfDiagramObjectKeyanyTypezbwNTnLX><a:Key><Key>Actions\Delete</Key></a:Key><a:Value i:type="MeasureGridViewStateIDiagramAction"/></a:KeyValueOfDiagramObjectKeyanyTypezbwNTnLX><a:KeyValueOfDiagramObjectKeyanyTypezbwNTnLX><a:Key><Key>Actions\Convert to KPI</Key></a:Key><a:Value i:type="MeasureGridViewStateIDiagramAction"/></a:KeyValueOfDiagramObjectKeyanyTypezbwNTnLX><a:KeyValueOfDiagramObjectKeyanyTypezbwNTnLX><a:Key><Key>Actions\Edit KPI</Key></a:Key><a:Value i:type="MeasureGridViewStateIDiagramAction"/></a:KeyValueOfDiagramObjectKeyanyTypezbwNTnLX><a:KeyValueOfDiagramObjectKeyanyTypezbwNTnLX><a:Key><Key>Actions\Remove KPI</Key></a:Key><a:Value i:type="MeasureGridViewStateIDiagramAction"/></a:KeyValueOfDiagramObjectKeyanyTypezbwNTnLX><a:KeyValueOfDiagramObjectKeyanyTypezbwNTnLX><a:Key><Key>Actions\Copy Measure</Key></a:Key><a:Value i:type="MeasureGridViewStateIDiagramAction"/></a:KeyValueOfDiagramObjectKeyanyTypezbwNTnLX><a:KeyValueOfDiagramObjectKeyanyTypezbwNTnLX><a:Key><Key>Actions\AutoMeasure_Sum</Key></a:Key><a:Value i:type="MeasureGridViewStateIDiagramAction"/></a:KeyValueOfDiagramObjectKeyanyTypezbwNTnLX><a:KeyValueOfDiagramObjectKeyanyTypezbwNTnLX><a:Key><Key>Actions\AutoMeasure_Count</Key></a:Key><a:Value i:type="MeasureGridViewStateIDiagramAction"/></a:KeyValueOfDiagramObjectKeyanyTypezbwNTnLX><a:KeyValueOfDiagramObjectKeyanyTypezbwNTnLX><a:Key><Key>Actions\AutoMeasure_Average</Key></a:Key><a:Value i:type="MeasureGridViewStateIDiagramAction"/></a:KeyValueOfDiagramObjectKeyanyTypezbwNTnLX><a:KeyValueOfDiagramObjectKeyanyTypezbwNTnLX><a:Key><Key>Actions\AutoMeasure_Max</Key></a:Key><a:Value i:type="MeasureGridViewStateIDiagramAction"/></a:KeyValueOfDiagramObjectKeyanyTypezbwNTnLX><a:KeyValueOfDiagramObjectKeyanyTypezbwNTnLX><a:Key><Key>Actions\AutoMeasure_Min</Key></a:Key><a:Value i:type="MeasureGridViewStateIDiagramAction"/></a:KeyValueOfDiagramObjectKeyanyTypezbwNTnLX><a:KeyValueOfDiagramObjectKeyanyTypezbwNTnLX><a:Key><Key>Actions\AutoMeasure_StdDev</Key></a:Key><a:Value i:type="MeasureGridViewStateIDiagramAction"/></a:KeyValueOfDiagramObjectKeyanyTypezbwNTnLX><a:KeyValueOfDiagramObjectKeyanyTypezbwNTnLX><a:Key><Key>Actions\AutoMeasure_StdDevp</Key></a:Key><a:Value i:type="MeasureGridViewStateIDiagramAction"/></a:KeyValueOfDiagramObjectKeyanyTypezbwNTnLX><a:KeyValueOfDiagramObjectKeyanyTypezbwNTnLX><a:Key><Key>Actions\AutoMeasure_Var</Key></a:Key><a:Value i:type="MeasureGridViewStateIDiagramAction"/></a:KeyValueOfDiagramObjectKeyanyTypezbwNTnLX><a:KeyValueOfDiagramObjectKeyanyTypezbwNTnLX><a:Key><Key>Actions\AutoMeasure_Varp</Key></a:Key><a:Value i:type="MeasureGridViewStateIDiagramAction"/></a:KeyValueOfDiagramObjectKeyanyTypezbwNTnLX><a:KeyValueOfDiagramObjectKeyanyTypezbwNTnLX><a:Key><Key>Actions\AutoMeasure_DistinctCount</Key></a:Key><a:Value i:type="MeasureGridViewStateIDiagramAction"/></a:KeyValueOfDiagramObjectKeyanyTypezbwNTnLX><a:KeyValueOfDiagramObjectKeyanyTypezbwNTnLX><a:Key><Key>Actions\Edit</Key></a:Key><a:Value i:type="MeasureGridViewStateIDiagramAction"/></a:KeyValueOfDiagramObjectKeyanyTypezbwNTnLX><a:KeyValueOfDiagramObjectKeyanyTypezbwNTnLX><a:Key><Key>Actions\Create</Key></a:Key><a:Value i:type="MeasureGridViewStateIDiagramAction"/></a:KeyValueOfDiagramObjectKeyanyTypezbwNTnLX><a:KeyValueOfDiagramObjectKeyanyTypezbwNTnLX><a:Key><Key>Actions\Format</Key></a:Key><a:Value i:type="MeasureGridViewStateIDiagramAction"/></a:KeyValueOfDiagramObjectKeyanyTypezbwNTnLX><a:KeyValueOfDiagramObjectKeyanyTypezbwNTnLX><a:Key><Key>Actions\Edit Description</Key></a:Key><a:Value i:type="MeasureGridViewStateIDiagramAction"/></a:KeyValueOfDiagramObjectKeyanyTypezbwNTnLX><a:KeyValueOfDiagramObjectKeyanyTypezbwNTnLX><a:Key><Key>Actions\Hide Measures</Key></a:Key><a:Value i:type="MeasureGridViewStateIDiagramAction"/></a:KeyValueOfDiagramObjectKeyanyTypezbwNTnLX><a:KeyValueOfDiagramObjectKeyanyTypezbwNTnLX><a:Key><Key>Actions\Unhide Measures</Key></a:Key><a:Value i:type="MeasureGridViewStateIDiagramAction"/></a:KeyValueOfDiagramObjectKeyanyTypezbwNTnLX><a:KeyValueOfDiagramObjectKeyanyTypezbwNTnLX><a:Key><Key>TagGroups\Types</Key></a:Key><a:Value i:type="MeasureGridViewStateIDiagramTagGroup"/></a:KeyValueOfDiagramObjectKeyanyTypezbwNTnLX><a:KeyValueOfDiagramObjectKeyanyTypezbwNTnLX><a:Key><Key>TagGroups\Link Types</Key></a:Key><a:Value i:type="MeasureGridViewStateIDiagramTagGroup"/></a:KeyValueOfDiagramObjectKeyanyTypezbwNTnLX><a:KeyValueOfDiagramObjectKeyanyTypezbwNTnLX><a:Key><Key>TagGroups\KPI</Key></a:Key><a:Value i:type="MeasureGridViewStateIDiagramTagGroup"/></a:KeyValueOfDiagramObjectKeyanyTypezbwNTnLX><a:KeyValueOfDiagramObjectKeyanyTypezbwNTnLX><a:Key><Key>TagGroups\Errors</Key></a:Key><a:Value i:type="MeasureGridViewStateIDiagramTagGroup"/></a:KeyValueOfDiagramObjectKeyanyTypezbwNTnLX><a:KeyValueOfDiagramObjectKeyanyTypezbwNTnLX><a:Key><Key>TagGroups\Values and Formulas</Key></a:Key><a:Value i:type="MeasureGridViewStateIDiagramTagGroup"/></a:KeyValueOfDiagramObjectKeyanyTypezbwNTnLX><a:KeyValueOfDiagramObjectKeyanyTypezbwNTnLX><a:Key><Key>TagGroups\State</Key></a:Key><a:Value i:type="MeasureGridViewStateIDiagramTagGroup"/></a:KeyValueOfDiagramObjectKeyanyTypezbwNTnLX><a:KeyValueOfDiagramObjectKeyanyTypezbwNTnLX><a:Key><Key>Static Tags\Column</Key></a:Key><a:Value i:type="MeasureGridViewStateIDiagramTag"/></a:KeyValueOfDiagramObjectKeyanyTypezbwNTnLX><a:KeyValueOfDiagramObjectKeyanyTypezbwNTnLX><a:Key><Key>Static Tags\Measure</Key></a:Key><a:Value i:type="MeasureGridViewStateIDiagramTag"/></a:KeyValueOfDiagramObjectKeyanyTypezbwNTnLX><a:KeyValueOfDiagramObjectKeyanyTypezbwNTnLX><a:Key><Key>Static Tags\Implicit Measure and Source Column Link</Key></a:Key><a:Value i:type="MeasureGridViewStateIDiagramTag"/></a:KeyValueOfDiagramObjectKeyanyTypezbwNTnLX><a:KeyValueOfDiagramObjectKeyanyTypezbwNTnLX><a:Key><Key>Static Tags\KPI</Key></a:Key><a:Value i:type="MeasureGridViewStateIDiagramTag"/></a:KeyValueOfDiagramObjectKeyanyTypezbwNTnLX><a:KeyValueOfDiagramObjectKeyanyTypezbwNTnLX><a:Key><Key>Static Tags\Semantic Error</Key></a:Key><a:Value i:type="MeasureGridViewStateIDiagramTag"/></a:KeyValueOfDiagramObjectKeyanyTypezbwNTnLX><a:KeyValueOfDiagramObjectKeyanyTypezbwNTnLX><a:Key><Key>Static Tags\Calculation Error</Key></a:Key><a:Value i:type="MeasureGridViewStateIDiagramTag"/></a:KeyValueOfDiagramObjectKeyanyTypezbwNTnLX><a:KeyValueOfDiagramObjectKeyanyTypezbwNTnLX><a:Key><Key>Static Tags\Value</Key></a:Key><a:Value i:type="MeasureGridViewStateIDiagramTag"/></a:KeyValueOfDiagramObjectKeyanyTypezbwNTnLX><a:KeyValueOfDiagramObjectKeyanyTypezbwNTnLX><a:Key><Key>Static Tags\Formula</Key></a:Key><a:Value i:type="MeasureGridViewStateIDiagramTag"/></a:KeyValueOfDiagramObjectKeyanyTypezbwNTnLX><a:KeyValueOfDiagramObjectKeyanyTypezbwNTnLX><a:Key><Key>Static Tags\Evaluation in progress</Key></a:Key><a:Value i:type="MeasureGridViewStateIDiagramTag"/></a:KeyValueOfDiagramObjectKeyanyTypezbwNTnLX><a:KeyValueOfDiagramObjectKeyanyTypezbwNTnLX><a:Key><Key>Static Tags\Is implicit measure</Key></a:Key><a:Value i:type="MeasureGridViewStateIDiagramTag"/></a:KeyValueOfDiagramObjectKeyanyTypezbwNTnLX><a:KeyValueOfDiagramObjectKeyanyTypezbwNTnLX><a:Key><Key>Static Tags\Hidden</Key></a:Key><a:Value i:type="MeasureGridViewStateIDiagramTag"/></a:KeyValueOfDiagramObjectKeyanyTypezbwNTnLX><a:KeyValueOfDiagramObjectKeyanyTypezbwNTnLX><a:Key><Key>Static Tags\Not in perspective</Key></a:Key><a:Value i:type="MeasureGridViewStateIDiagramTag"/></a:KeyValueOfDiagramObjectKeyanyTypezbwNTnLX><a:KeyValueOfDiagramObjectKeyanyTypezbwNTnLX><a:Key><Key>Static Tags\Is readonly</Key></a:Key><a:Value i:type="MeasureGridViewStateIDiagramTag"/></a:KeyValueOfDiagramObjectKeyanyTypezbwNTnLX><a:KeyValueOfDiagramObjectKeyanyTypezbwNTnLX><a:Key><Key>Measures\Sum of Planned_Cost</Key></a:Key><a:Value i:type="MeasureGridNodeViewState"><Column>11</Column><LayedOut>true</LayedOut><WasUIInvisible>true</WasUIInvisible></a:Value></a:KeyValueOfDiagramObjectKeyanyTypezbwNTnLX><a:KeyValueOfDiagramObjectKeyanyTypezbwNTnLX><a:Key><Key>Measures\Sum of Planned_Cost\TagInfo\Formula</Key></a:Key><a:Value i:type="MeasureGridViewStateIDiagramTagAdditionalInfo"/></a:KeyValueOfDiagramObjectKeyanyTypezbwNTnLX><a:KeyValueOfDiagramObjectKeyanyTypezbwNTnLX><a:Key><Key>Measures\Sum of Planned_Cost\TagInfo\Value</Key></a:Key><a:Value i:type="MeasureGridViewStateIDiagramTagAdditionalInfo"/></a:KeyValueOfDiagramObjectKeyanyTypezbwNTnLX><a:KeyValueOfDiagramObjectKeyanyTypezbwNTnLX><a:Key><Key>Measures\Sum of Actual_Cost</Key></a:Key><a:Value i:type="MeasureGridNodeViewState"><Column>12</Column><LayedOut>true</LayedOut><WasUIInvisible>true</WasUIInvisible></a:Value></a:KeyValueOfDiagramObjectKeyanyTypezbwNTnLX><a:KeyValueOfDiagramObjectKeyanyTypezbwNTnLX><a:Key><Key>Measures\Sum of Actual_Cost\TagInfo\Formula</Key></a:Key><a:Value i:type="MeasureGridViewStateIDiagramTagAdditionalInfo"/></a:KeyValueOfDiagramObjectKeyanyTypezbwNTnLX><a:KeyValueOfDiagramObjectKeyanyTypezbwNTnLX><a:Key><Key>Measures\Sum of Actual_Cost\TagInfo\Value</Key></a:Key><a:Value i:type="MeasureGridViewStateIDiagramTagAdditionalInfo"/></a:KeyValueOfDiagramObjectKeyanyTypezbwNTnLX><a:KeyValueOfDiagramObjectKeyanyTypezbwNTnLX><a:Key><Key>Measures\Total Planned Cost</Key></a:Key><a:Value i:type="MeasureGridNodeViewState"><Column>1</Column><LayedOut>true</LayedOut><Row>1</Row></a:Value></a:KeyValueOfDiagramObjectKeyanyTypezbwNTnLX><a:KeyValueOfDiagramObjectKeyanyTypezbwNTnLX><a:Key><Key>Measures\Total Planned Cost\TagInfo\Formula</Key></a:Key><a:Value i:type="MeasureGridViewStateIDiagramTagAdditionalInfo"/></a:KeyValueOfDiagramObjectKeyanyTypezbwNTnLX><a:KeyValueOfDiagramObjectKeyanyTypezbwNTnLX><a:Key><Key>Measures\Total Planned Cost\TagInfo\Value</Key></a:Key><a:Value i:type="MeasureGridViewStateIDiagramTagAdditionalInfo"/></a:KeyValueOfDiagramObjectKeyanyTypezbwNTnLX><a:KeyValueOfDiagramObjectKeyanyTypezbwNTnLX><a:Key><Key>Measures\Total Actual Cost</Key></a:Key><a:Value i:type="MeasureGridNodeViewState"><Column>1</Column><LayedOut>true</LayedOut><Row>2</Row></a:Value></a:KeyValueOfDiagramObjectKeyanyTypezbwNTnLX><a:KeyValueOfDiagramObjectKeyanyTypezbwNTnLX><a:Key><Key>Measures\Total Actual Cost\TagInfo\Formula</Key></a:Key><a:Value i:type="MeasureGridViewStateIDiagramTagAdditionalInfo"/></a:KeyValueOfDiagramObjectKeyanyTypezbwNTnLX><a:KeyValueOfDiagramObjectKeyanyTypezbwNTnLX><a:Key><Key>Measures\Total Actual Cost\TagInfo\Value</Key></a:Key><a:Value i:type="MeasureGridViewStateIDiagramTagAdditionalInfo"/></a:KeyValueOfDiagramObjectKeyanyTypezbwNTnLX><a:KeyValueOfDiagramObjectKeyanyTypezbwNTnLX><a:Key><Key>Measures\Cost Variance</Key></a:Key><a:Value i:type="MeasureGridNodeViewState"><Column>1</Column><LayedOut>true</LayedOut><Row>3</Row></a:Value></a:KeyValueOfDiagramObjectKeyanyTypezbwNTnLX><a:KeyValueOfDiagramObjectKeyanyTypezbwNTnLX><a:Key><Key>Measures\Cost Variance\TagInfo\Formula</Key></a:Key><a:Value i:type="MeasureGridViewStateIDiagramTagAdditionalInfo"/></a:KeyValueOfDiagramObjectKeyanyTypezbwNTnLX><a:KeyValueOfDiagramObjectKeyanyTypezbwNTnLX><a:Key><Key>Measures\Cost Variance\TagInfo\Value</Key></a:Key><a:Value i:type="MeasureGridViewStateIDiagramTagAdditionalInfo"/></a:KeyValueOfDiagramObjectKeyanyTypezbwNTnLX><a:KeyValueOfDiagramObjectKeyanyTypezbwNTnLX><a:Key><Key>Measures\Cost Variance %</Key></a:Key><a:Value i:type="MeasureGridNodeViewState"><Column>1</Column><LayedOut>true</LayedOut><Row>4</Row></a:Value></a:KeyValueOfDiagramObjectKeyanyTypezbwNTnLX><a:KeyValueOfDiagramObjectKeyanyTypezbwNTnLX><a:Key><Key>Measures\Cost Variance %\TagInfo\Formula</Key></a:Key><a:Value i:type="MeasureGridViewStateIDiagramTagAdditionalInfo"/></a:KeyValueOfDiagramObjectKeyanyTypezbwNTnLX><a:KeyValueOfDiagramObjectKeyanyTypezbwNTnLX><a:Key><Key>Measures\Cost Variance %\TagInfo\Value</Key></a:Key><a:Value i:type="MeasureGridViewStateIDiagramTagAdditionalInfo"/></a:KeyValueOfDiagramObjectKeyanyTypezbwNTnLX><a:KeyValueOfDiagramObjectKeyanyTypezbwNTnLX><a:Key><Key>Measures\Completed Tasks</Key></a:Key><a:Value i:type="MeasureGridNodeViewState"><Column>1</Column><LayedOut>true</LayedOut><Row>5</Row></a:Value></a:KeyValueOfDiagramObjectKeyanyTypezbwNTnLX><a:KeyValueOfDiagramObjectKeyanyTypezbwNTnLX><a:Key><Key>Measures\Completed Tasks\TagInfo\Formula</Key></a:Key><a:Value i:type="MeasureGridViewStateIDiagramTagAdditionalInfo"/></a:KeyValueOfDiagramObjectKeyanyTypezbwNTnLX><a:KeyValueOfDiagramObjectKeyanyTypezbwNTnLX><a:Key><Key>Measures\Completed Tasks\TagInfo\Value</Key></a:Key><a:Value i:type="MeasureGridViewStateIDiagramTagAdditionalInfo"/></a:KeyValueOfDiagramObjectKeyanyTypezbwNTnLX><a:KeyValueOfDiagramObjectKeyanyTypezbwNTnLX><a:Key><Key>Measures\On-Time Completion Rate</Key></a:Key><a:Value i:type="MeasureGridNodeViewState"><Column>1</Column><LayedOut>true</LayedOut><Row>6</Row></a:Value></a:KeyValueOfDiagramObjectKeyanyTypezbwNTnLX><a:KeyValueOfDiagramObjectKeyanyTypezbwNTnLX><a:Key><Key>Measures\On-Time Completion Rate\TagInfo\Formula</Key></a:Key><a:Value i:type="MeasureGridViewStateIDiagramTagAdditionalInfo"/></a:KeyValueOfDiagramObjectKeyanyTypezbwNTnLX><a:KeyValueOfDiagramObjectKeyanyTypezbwNTnLX><a:Key><Key>Measures\On-Time Completion Rate\TagInfo\Value</Key></a:Key><a:Value i:type="MeasureGridViewStateIDiagramTagAdditionalInfo"/></a:KeyValueOfDiagramObjectKeyanyTypezbwNTnLX><a:KeyValueOfDiagramObjectKeyanyTypezbwNTnLX><a:Key><Key>Measures\Average Delay Days</Key></a:Key><a:Value i:type="MeasureGridNodeViewState"><Column>1</Column><LayedOut>true</LayedOut><Row>7</Row></a:Value></a:KeyValueOfDiagramObjectKeyanyTypezbwNTnLX><a:KeyValueOfDiagramObjectKeyanyTypezbwNTnLX><a:Key><Key>Measures\Average Delay Days\TagInfo\Formula</Key></a:Key><a:Value i:type="MeasureGridViewStateIDiagramTagAdditionalInfo"/></a:KeyValueOfDiagramObjectKeyanyTypezbwNTnLX><a:KeyValueOfDiagramObjectKeyanyTypezbwNTnLX><a:Key><Key>Measures\Average Delay Days\TagInfo\Value</Key></a:Key><a:Value i:type="MeasureGridViewStateIDiagramTagAdditionalInfo"/></a:KeyValueOfDiagramObjectKeyanyTypezbwNTnLX><a:KeyValueOfDiagramObjectKeyanyTypezbwNTnLX><a:Key><Key>Columns\Task_ID</Key></a:Key><a:Value i:type="MeasureGridNodeViewState"><LayedOut>true</LayedOut></a:Value></a:KeyValueOfDiagramObjectKeyanyTypezbwNTnLX><a:KeyValueOfDiagramObjectKeyanyTypezbwNTnLX><a:Key><Key>Columns\Project_ID</Key></a:Key><a:Value i:type="MeasureGridNodeViewState"><Column>1</Column><LayedOut>true</LayedOut></a:Value></a:KeyValueOfDiagramObjectKeyanyTypezbwNTnLX><a:KeyValueOfDiagramObjectKeyanyTypezbwNTnLX><a:Key><Key>Columns\Project_Name</Key></a:Key><a:Value i:type="MeasureGridNodeViewState"><Column>2</Column><LayedOut>true</LayedOut></a:Value></a:KeyValueOfDiagramObjectKeyanyTypezbwNTnLX><a:KeyValueOfDiagramObjectKeyanyTypezbwNTnLX><a:Key><Key>Columns\Task_Name</Key></a:Key><a:Value i:type="MeasureGridNodeViewState"><Column>3</Column><LayedOut>true</LayedOut></a:Value></a:KeyValueOfDiagramObjectKeyanyTypezbwNTnLX><a:KeyValueOfDiagramObjectKeyanyTypezbwNTnLX><a:Key><Key>Columns\Department</Key></a:Key><a:Value i:type="MeasureGridNodeViewState"><Column>4</Column><LayedOut>true</LayedOut></a:Value></a:KeyValueOfDiagramObjectKeyanyTypezbwNTnLX><a:KeyValueOfDiagramObjectKeyanyTypezbwNTnLX><a:Key><Key>Columns\Assigned_To</Key></a:Key><a:Value i:type="MeasureGridNodeViewState"><Column>5</Column><LayedOut>true</LayedOut></a:Value></a:KeyValueOfDiagramObjectKeyanyTypezbwNTnLX><a:KeyValueOfDiagramObjectKeyanyTypezbwNTnLX><a:Key><Key>Columns\Priority</Key></a:Key><a:Value i:type="MeasureGridNodeViewState"><Column>6</Column><LayedOut>true</LayedOut></a:Value></a:KeyValueOfDiagramObjectKeyanyTypezbwNTnLX><a:KeyValueOfDiagramObjectKeyanyTypezbwNTnLX><a:Key><Key>Columns\Status</Key></a:Key><a:Value i:type="MeasureGridNodeViewState"><Column>7</Column><LayedOut>true</LayedOut></a:Value></a:KeyValueOfDiagramObjectKeyanyTypezbwNTnLX><a:KeyValueOfDiagramObjectKeyanyTypezbwNTnLX><a:Key><Key>Columns\Start_Date</Key></a:Key><a:Value i:type="MeasureGridNodeViewState"><Column>8</Column><LayedOut>true</LayedOut></a:Value></a:KeyValueOfDiagramObjectKeyanyTypezbwNTnLX><a:KeyValueOfDiagramObjectKeyanyTypezbwNTnLX><a:Key><Key>Columns\Planned_End_Date</Key></a:Key><a:Value i:type="MeasureGridNodeViewState"><Column>9</Column><LayedOut>true</LayedOut></a:Value></a:KeyValueOfDiagramObjectKeyanyTypezbwNTnLX><a:KeyValueOfDiagramObjectKeyanyTypezbwNTnLX><a:Key><Key>Columns\Actual_End_Date</Key></a:Key><a:Value i:type="MeasureGridNodeViewState"><Column>10</Column><LayedOut>true</LayedOut></a:Value></a:KeyValueOfDiagramObjectKeyanyTypezbwNTnLX><a:KeyValueOfDiagramObjectKeyanyTypezbwNTnLX><a:Key><Key>Columns\Planned_Cost</Key></a:Key><a:Value i:type="MeasureGridNodeViewState"><Column>11</Column><LayedOut>true</LayedOut></a:Value></a:KeyValueOfDiagramObjectKeyanyTypezbwNTnLX><a:KeyValueOfDiagramObjectKeyanyTypezbwNTnLX><a:Key><Key>Columns\Actual_Cost</Key></a:Key><a:Value i:type="MeasureGridNodeViewState"><Column>12</Column><LayedOut>true</LayedOut></a:Value></a:KeyValueOfDiagramObjectKeyanyTypezbwNTnLX><a:KeyValueOfDiagramObjectKeyanyTypezbwNTnLX><a:Key><Key>Columns\Planned_Duration_Days</Key></a:Key><a:Value i:type="MeasureGridNodeViewState"><Column>13</Column><LayedOut>true</LayedOut></a:Value></a:KeyValueOfDiagramObjectKeyanyTypezbwNTnLX><a:KeyValueOfDiagramObjectKeyanyTypezbwNTnLX><a:Key><Key>Columns\Delay_Days</Key></a:Key><a:Value i:type="MeasureGridNodeViewState"><Column>14</Column><LayedOut>true</LayedOut></a:Value></a:KeyValueOfDiagramObjectKeyanyTypezbwNTnLX><a:KeyValueOfDiagramObjectKeyanyTypezbwNTnLX><a:Key><Key>Columns\Client</Key></a:Key><a:Value i:type="MeasureGridNodeViewState"><Column>15</Column><LayedOut>true</LayedOut></a:Value></a:KeyValueOfDiagramObjectKeyanyTypezbwNTnLX><a:KeyValueOfDiagramObjectKeyanyTypezbwNTnLX><a:Key><Key>Columns\Project_Manager</Key></a:Key><a:Value i:type="MeasureGridNodeViewState"><Column>16</Column><LayedOut>true</LayedOut></a:Value></a:KeyValueOfDiagramObjectKeyanyTypezbwNTnLX><a:KeyValueOfDiagramObjectKeyanyTypezbwNTnLX><a:Key><Key>Columns\Start_Date.1</Key></a:Key><a:Value i:type="MeasureGridNodeViewState"><Column>17</Column><LayedOut>true</LayedOut></a:Value></a:KeyValueOfDiagramObjectKeyanyTypezbwNTnLX><a:KeyValueOfDiagramObjectKeyanyTypezbwNTnLX><a:Key><Key>Columns\Budget</Key></a:Key><a:Value i:type="MeasureGridNodeViewState"><Column>18</Column><LayedOut>true</LayedOut></a:Value></a:KeyValueOfDiagramObjectKeyanyTypezbwNTnLX><a:KeyValueOfDiagramObjectKeyanyTypezbwNTnLX><a:Key><Key>Columns\Employee_ID</Key></a:Key><a:Value i:type="MeasureGridNodeViewState"><Column>19</Column><LayedOut>true</LayedOut></a:Value></a:KeyValueOfDiagramObjectKeyanyTypezbwNTnLX><a:KeyValueOfDiagramObjectKeyanyTypezbwNTnLX><a:Key><Key>Columns\Role</Key></a:Key><a:Value i:type="MeasureGridNodeViewState"><Column>20</Column><LayedOut>true</LayedOut></a:Value></a:KeyValueOfDiagramObjectKeyanyTypezbwNTnLX><a:KeyValueOfDiagramObjectKeyanyTypezbwNTnLX><a:Key><Key>Columns\Hourly_Rate</Key></a:Key><a:Value i:type="MeasureGridNodeViewState"><Column>21</Column><LayedOut>true</LayedOut></a:Value></a:KeyValueOfDiagramObjectKeyanyTypezbwNTnLX><a:KeyValueOfDiagramObjectKeyanyTypezbwNTnLX><a:Key><Key>Columns\Cost_Variance</Key></a:Key><a:Value i:type="MeasureGridNodeViewState"><Column>22</Column><LayedOut>true</LayedOut></a:Value></a:KeyValueOfDiagramObjectKeyanyTypezbwNTnLX><a:KeyValueOfDiagramObjectKeyanyTypezbwNTnLX><a:Key><Key>Columns\Cost_Variance_%</Key></a:Key><a:Value i:type="MeasureGridNodeViewState"><Column>23</Column><LayedOut>true</LayedOut></a:Value></a:KeyValueOfDiagramObjectKeyanyTypezbwNTnLX><a:KeyValueOfDiagramObjectKeyanyTypezbwNTnLX><a:Key><Key>Columns\On_Time_Flag</Key></a:Key><a:Value i:type="MeasureGridNodeViewState"><Column>24</Column><LayedOut>true</LayedOut></a:Value></a:KeyValueOfDiagramObjectKeyanyTypezbwNTnLX><a:KeyValueOfDiagramObjectKeyanyTypezbwNTnLX><a:Key><Key>Columns\Task_Age_Category</Key></a:Key><a:Value i:type="MeasureGridNodeViewState"><Column>25</Column><LayedOut>true</LayedOut></a:Value></a:KeyValueOfDiagramObjectKeyanyTypezbwNTnLX><a:KeyValueOfDiagramObjectKeyanyTypezbwNTnLX><a:Key><Key>Columns\Manager_Lookup</Key></a:Key><a:Value i:type="MeasureGridNodeViewState"><Column>26</Column><LayedOut>true</LayedOut></a:Value></a:KeyValueOfDiagramObjectKeyanyTypezbwNTnLX><a:KeyValueOfDiagramObjectKeyanyTypezbwNTnLX><a:Key><Key>Links\&lt;Columns\Sum of Planned_Cost&gt;-&lt;Measures\Planned_Cost&gt;</Key></a:Key><a:Value i:type="MeasureGridViewStateIDiagramLink"/></a:KeyValueOfDiagramObjectKeyanyTypezbwNTnLX><a:KeyValueOfDiagramObjectKeyanyTypezbwNTnLX><a:Key><Key>Links\&lt;Columns\Sum of Planned_Cost&gt;-&lt;Measures\Planned_Cost&gt;\COLUMN</Key></a:Key><a:Value i:type="MeasureGridViewStateIDiagramLinkEndpoint"/></a:KeyValueOfDiagramObjectKeyanyTypezbwNTnLX><a:KeyValueOfDiagramObjectKeyanyTypezbwNTnLX><a:Key><Key>Links\&lt;Columns\Sum of Planned_Cost&gt;-&lt;Measures\Planned_Cost&gt;\MEASURE</Key></a:Key><a:Value i:type="MeasureGridViewStateIDiagramLinkEndpoint"/></a:KeyValueOfDiagramObjectKeyanyTypezbwNTnLX><a:KeyValueOfDiagramObjectKeyanyTypezbwNTnLX><a:Key><Key>Links\&lt;Columns\Sum of Actual_Cost&gt;-&lt;Measures\Actual_Cost&gt;</Key></a:Key><a:Value i:type="MeasureGridViewStateIDiagramLink"/></a:KeyValueOfDiagramObjectKeyanyTypezbwNTnLX><a:KeyValueOfDiagramObjectKeyanyTypezbwNTnLX><a:Key><Key>Links\&lt;Columns\Sum of Actual_Cost&gt;-&lt;Measures\Actual_Cost&gt;\COLUMN</Key></a:Key><a:Value i:type="MeasureGridViewStateIDiagramLinkEndpoint"/></a:KeyValueOfDiagramObjectKeyanyTypezbwNTnLX><a:KeyValueOfDiagramObjectKeyanyTypezbwNTnLX><a:Key><Key>Links\&lt;Columns\Sum of Actual_Cost&gt;-&lt;Measures\Actual_Cost&gt;\MEASURE</Key></a:Key><a:Value i:type="MeasureGridViewStateIDiagramLinkEndpoint"/></a:KeyValueOfDiagramObjectKeyanyTypezbwNTnLX></ViewStates></DiagramManager.SerializableDiagram></ArrayOfDiagramManager.SerializableDiagram>]]></CustomContent>
</Gemini>
</file>

<file path=customXml/item6.xml><?xml version="1.0" encoding="utf-8"?>
<Gemini xmlns="http://gemini/pivotcustomization/MeasureGridState">
  <CustomContent><![CDATA[<ArrayOfKeyValueOfstringSandboxEditor.MeasureGridStateScdE35Ry xmlns="http://schemas.microsoft.com/2003/10/Serialization/Arrays" xmlns:i="http://www.w3.org/2001/XMLSchema-instance"><KeyValueOfstringSandboxEditor.MeasureGridStateScdE35Ry><Key>tbl_Tasks_Clean</Key><Value xmlns:a="http://schemas.datacontract.org/2004/07/Microsoft.AnalysisServices.Common"><a:HasFocus>true</a:HasFocus><a:SizeAtDpi96>117</a:SizeAtDpi96><a:Visible>true</a:Visible></Value></KeyValueOfstringSandboxEditor.MeasureGridStateScdE35Ry><KeyValueOfstringSandboxEditor.MeasureGridStateScdE35Ry><Key>tbl_Projects</Key><Value xmlns:a="http://schemas.datacontract.org/2004/07/Microsoft.AnalysisServices.Common"><a:HasFocus>true</a:HasFocus><a:SizeAtDpi96>117</a:SizeAtDpi96><a:Visible>true</a:Visible></Value></KeyValueOfstringSandboxEditor.MeasureGridStateScdE35Ry><KeyValueOfstringSandboxEditor.MeasureGridStateScdE35Ry><Key>tbl_Employees</Key><Value xmlns:a="http://schemas.datacontract.org/2004/07/Microsoft.AnalysisServices.Common"><a:HasFocus>true</a:HasFocus><a:SizeAtDpi96>115</a:SizeAtDpi96><a:Visible>true</a:Visible></Value></KeyValueOfstringSandboxEditor.MeasureGridStateScdE35Ry></ArrayOfKeyValueOfstringSandboxEditor.MeasureGridStateScdE35Ry>]]></CustomContent>
</Gemini>
</file>

<file path=customXml/item7.xml><?xml version="1.0" encoding="utf-8"?>
<Gemini xmlns="http://gemini/pivotcustomization/FormulaBarState">
  <CustomContent><![CDATA[<SandboxEditor.FormulaBarState xmlns="http://schemas.datacontract.org/2004/07/Microsoft.AnalysisServices.Common" xmlns:i="http://www.w3.org/2001/XMLSchema-instance"><Height>25</Height></SandboxEditor.FormulaBarState>]]></CustomContent>
</Gemini>
</file>

<file path=customXml/item8.xml><?xml version="1.0" encoding="utf-8"?>
<Gemini xmlns="http://gemini/pivotcustomization/LinkedTableUpdateMode">
  <CustomContent><![CDATA[True]]></CustomContent>
</Gemini>
</file>

<file path=customXml/item9.xml><?xml version="1.0" encoding="utf-8"?>
<Gemini xmlns="http://gemini/pivotcustomization/IsSandboxEmbedded">
  <CustomContent><![CDATA[yes]]></CustomContent>
</Gemini>
</file>

<file path=customXml/item10.xml><?xml version="1.0" encoding="utf-8"?>
<Gemini xmlns="http://gemini/pivotcustomization/ErrorCache">
  <CustomContent><![CDATA[<DataModelingSandbox.SerializedSandboxErrorCache xmlns="http://schemas.datacontract.org/2004/07/Microsoft.AnalysisServices.BackEnd" xmlns:i="http://www.w3.org/2001/XMLSchema-instance"><ErrorCacheDictionary xmlns:a="http://schemas.microsoft.com/2003/10/Serialization/Arrays"/><LastProcessedTime>2026-07-18T19:35:47.7602267+03:00</LastProcessedTime></DataModelingSandbox.SerializedSandboxErrorCache>]]></CustomContent>
</Gemini>
</file>

<file path=customXml/item11.xml><?xml version="1.0" encoding="utf-8"?>
<Gemini xmlns="http://gemini/pivotcustomization/TableXML_tbl_Projects">
  <CustomContent><![CDATA[<TableWidgetGridSerialization xmlns:xsd="http://www.w3.org/2001/XMLSchema" xmlns:xsi="http://www.w3.org/2001/XMLSchema-instance"><ColumnSuggestedType /><ColumnFormat /><ColumnAccuracy /><ColumnCurrencySymbol /><ColumnPositivePattern /><ColumnNegativePattern /><ColumnWidths><item><key><string>Project_ID</string></key><value><int>126</int></value></item><item><key><string>Project_Name</string></key><value><int>160</int></value></item><item><key><string>Client</string></key><value><int>88</int></value></item><item><key><string>Project_Manager</string></key><value><int>184</int></value></item><item><key><string>Start_Date</string></key><value><int>125</int></value></item><item><key><string>Budget</string></key><value><int>101</int></value></item></ColumnWidths><ColumnDisplayIndex><item><key><string>Project_ID</string></key><value><int>0</int></value></item><item><key><string>Project_Name</string></key><value><int>1</int></value></item><item><key><string>Client</string></key><value><int>2</int></value></item><item><key><string>Project_Manager</string></key><value><int>3</int></value></item><item><key><string>Start_Date</string></key><value><int>4</int></value></item><item><key><string>Budget</string></key><value><int>5</int></value></item></ColumnDisplayIndex><ColumnFrozen /><ColumnChecked /><ColumnFilter /><SelectionFilter /><FilterParameters /><IsSortDescending>false</IsSortDescending></TableWidgetGridSerialization>]]></CustomContent>
</Gemini>
</file>

<file path=customXml/item12.xml><?xml version="1.0" encoding="utf-8"?>
<Gemini xmlns="http://gemini/pivotcustomization/TableXML_tbl_Employees">
  <CustomContent><![CDATA[<TableWidgetGridSerialization xmlns:xsd="http://www.w3.org/2001/XMLSchema" xmlns:xsi="http://www.w3.org/2001/XMLSchema-instance"><ColumnSuggestedType /><ColumnFormat /><ColumnAccuracy /><ColumnCurrencySymbol /><ColumnPositivePattern /><ColumnNegativePattern /><ColumnWidths><item><key><string>Employee_ID</string></key><value><int>154</int></value></item><item><key><string>Employee_Name</string></key><value><int>188</int></value></item><item><key><string>Department</string></key><value><int>138</int></value></item><item><key><string>Role</string></key><value><int>80</int></value></item><item><key><string>Hourly_Rate</string></key><value><int>144</int></value></item></ColumnWidths><ColumnDisplayIndex><item><key><string>Employee_ID</string></key><value><int>0</int></value></item><item><key><string>Employee_Name</string></key><value><int>1</int></value></item><item><key><string>Department</string></key><value><int>2</int></value></item><item><key><string>Role</string></key><value><int>3</int></value></item><item><key><string>Hourly_Rate</string></key><value><int>4</int></value></item></ColumnDisplayIndex><ColumnFrozen /><ColumnChecked /><ColumnFilter /><SelectionFilter /><FilterParameters /><IsSortDescending>false</IsSortDescending></TableWidgetGridSerialization>]]></CustomContent>
</Gemini>
</file>

<file path=customXml/item13.xml><?xml version="1.0" encoding="utf-8"?>
<Gemini xmlns="http://gemini/pivotcustomization/aa0dea21-f91b-4a5c-9cec-86c1cd025b8a">
  <CustomContent><![CDATA[<?xml version="1.0" encoding="utf-16"?><Settings><CalculatedFields><item><MeasureName>Total Planned Cost</MeasureName><DisplayName>Total Planned Cost</DisplayName><Visible>False</Visible></item><item><MeasureName>Total Actual Cost</MeasureName><DisplayName>Total Actual Cost</DisplayName><Visible>False</Visible></item><item><MeasureName>Cost Variance</MeasureName><DisplayName>Cost Variance</DisplayName><Visible>False</Visible></item><item><MeasureName>Cost Variance %</MeasureName><DisplayName>Cost Variance %</DisplayName><Visible>False</Visible></item><item><MeasureName>Completed Tasks</MeasureName><DisplayName>Completed Tasks</DisplayName><Visible>False</Visible></item><item><MeasureName>On-Time Completion Rate</MeasureName><DisplayName>On-Time Completion Rate</DisplayName><Visible>False</Visible></item><item><MeasureName>Average Delay Days</MeasureName><DisplayName>Average Delay Days</DisplayName><Visible>False</Visible></item></CalculatedFields><SAHostHash>0</SAHostHash><GeminiFieldListVisible>True</GeminiFieldListVisible></Settings>]]></CustomContent>
</Gemini>
</file>

<file path=customXml/item14.xml><?xml version="1.0" encoding="utf-8"?>
<DataMashup xmlns="http://schemas.microsoft.com/DataMashup" sqmid="f81629b9-8572-4ad2-8b24-d8430fa1e8d6">AAAAAG8KAABQSwMEFAACAAgAg4ryXEOAgximAAAA+AAAABIAHABDb25maWcvUGFja2FnZS54bWwgohgAKKAUAAAAAAAAAAAAAAAAAAAAAAAAAAAAhY+xDoIwGIRfhXSnLSUkhvyUwVUSE6JxbUqFRiiGFsu7OfhIvoIYRd0cbri7b7i7X2+QT10bXNRgdW8yFGGKAmVkX2lTZ2h0x3CFcg5bIU+iVsEMG5tOtspQ49w5JcR7j32M+6EmjNKIHIpNKRvVCfSB9X841MY6YaRCHPavMZzhKJ6V0IRhCmSJodDmi7B58bP9CWE9tm4cFFcm3JVAFgvk/YI/AFBLAwQUAAIACACDivJ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g4ryXM9pOzlnBwAAsyMAABMAHABGb3JtdWxhcy9TZWN0aW9uMS5tIKIYACigFAAAAAAAAAAAAAAAAAAAAAAAAAAAAN1abW/iOBD+vtL+Byt3H0CiXCutTjrddSUKaUsXQkvCripUIZe4JdeQICe5gqr+9xs7b3ZiQsKuVqfjQwmxZzzz+Jnx2G5AlqHje8iMv8/+/Pjh44dghSmxkYWDl2Axxa8DHGJ0jlwSfvyA4GP6EV0SeKNvl8Tt9iNKiRd+8+nLo++/tNpvcwOvybkmKdAe3ud93wuh50OHjcI0Tcna/4fYg2jjOksckgCUWvjRJd2BE4SOtwxb8WDtTKTvEuxZZBt+xW7EjGhtEQ4Q9nZt9u1FrssUoBC6oPPPsRD7ZOanH2hGzhPawheTQuGKePETcQOC2BhdPlqLP1rUWcdPl9Rft7btNjNKVEhJELmJVvalaUWdggWOpxIuu9n33Wjt5cBYFHvBk0/XSUMrV1NCU7DvTR7tjU/OYjjQOojg5aoAa2vR7qBwt4lhfO8UhW+p/zcw5rvlGU+O08DNP158QDaYhmsg43HyvSBwnj1iLyz/WAQcnzrh7jhpM8RhFNSSzUWTx3Yx+iwShFP/NaeYSVyYHPZKIFeRkIJN3Ih5QqgH9NfnmPHYs+MgAmtpGHxzwlUr69VBmmV+OdHavNs8m04urlm6aaETBBD7lGhFuy+dLbA8m8EGoZG6WhUYJWrIHdinlErSjx0H/0JKKZAG8oQy22wIjdPIlGxcvCTK7LKA5IK0Lligae12ebBi9sjeP3EbxMyj7sgtSnsPraQ/e6rRf3Jrasin6Q992rOGE8NMlUzARcyWk6COssuh0TP6eip86XjYW5I6kuPe9ItuDY2rVHaM6QuBZeO5jvT1NBWDpxr9b6eT/myqj3UjQwvS2DKihHOlhoa7Xo7a3aw3Glr3qGeas6no/12EXcgLCDJMRA8hwQkDVmScGvmv6WPKo+IqxT5ZepCbqpIFD7o479QJuEKMVgWclMwaBFvQJNjK8dUsqgJOAd0YcLrBLPIXxsRCptWbWvognT/DDxFPeMQ+wAmuYWJcTSSVQwMB066mupnF09BDMMfPUCEcCiiuYTAx9FxffzK+HemW4k1mct9fbwDlegZf6NdDY4DM/rU+mI0EtQN91LvPlQ6Ii3fVKn82e9M1tzZ/Y2ZWcbewjDdg7+ZnsncjrAkxQ8mhjMVFrvn0xo/Dq+ssYTrPqzri41x8zJgh/BjOxlnWJrYTrevoG+UqRpNvqTywpko48/cHMikt/yy/NpdSplSxSVFVihQB3/ewQZzemYcTNSKZVPVFrSKRG9/3g7B+2s/RqQwdF3vMV6Y79TakO2RE60dCYzPLdZL0I3EFiqRf40oJ/nSSmgn5AAd9dQCA08RVj2tWFPPLEBbdn29IBeq3mAYEts0VG1ybt1ZucLfKLa5WwYttKeFGLAtZXJOQlUB1seOOYApms44F9JhcK98JMOEO+iQhw6wr6HOCe9B46dCAqcy0i7uL7OXnc3T2x+lpQcMKB6aLg1VqOjt+wA7wlRug/aYVXQCBwf7+J6r+Y+izYhsXdF5OL7KWFElQddMzYOfj0wYil/pFUxGoj5uK9G4bi4x7901FbmaN3b+ZjRr7MrtqKmLqt01FJn2rqYgx+dpUZKD3S+xLj5sUlcBTEvvV+8B0bRUjjXVXL6YsqFlGykOah8W8D0bAJuhcI97JzNQeFJUJ++SxXkfR1UUNRdVeScH5fW7VsuaH4XPQrTip/a9cGny/R/8V7jXwoLgC1j4djnfX0oH5oaKMl3AHtuE0XDClaRGUFSH5kSIrOhSHmUkpp3v2cQqSCqyufEXh1LNtqLVjewZRfAyVYQSNMTqlg4rCaXnmUaoCzNoF4g4iLc7nOWwPQp0+L0LygNS3DOkAXTZASyF2Ig0hrgFDL/z9U9cCVJQg8A0401rpvgovEQiuZb/3hYlrAMGp0v+SvhOFnkMgsO9fYFtJn4mN7iJCHRJoGQoGCUJi3/iO15Jx6sgXG+/AuEd3kbxRtGpiM1CWqfzieHZ3RJ7CSRQSus+YM6U1JZM7hS1hYpG+3rj+jhBuUvojvgtJrcq6HDBL326gjoYhJVcy4+Jm/pwQp+xJGYc3re868fF5htgYe/iZUPZKyjPaRWQ/w978vYFY90wU3ONMjkClN2oAFCgKSPNLL/maQJv6Lnfn2o+ou1tMmXfvlVKxF0q53CVOUAQFoe2wIMEuii3XFDG9FwBQv2SXNwu7dOnFQjg3SQ7QuWjrQxytYufcyuRyJbFNQDxuSBekCnc6byVkBHwFQC4dFwgMStgtTj6QcGNVNifxtTUX5iK7pWqLbvjU5soVjvCm3BPZjo54nSpfjhavOqWLS9W8FA6BxBPG/KS8EESK9VexpBZPXArnHvvWPHkNQEdFKTwVAuEA8afEA4iUM8Ea8okoT1rn7U2Jq0iod6jv0hKrPJj4TxBiXjjmfyCkvCL/C0Q8eH+FPZZQ2RKm7avmWGOQ/CsE80+imHBPXL5alxuzuVPL5BMpt0tsE8o4aMomOF+IC+hKDhahzbLUsdjmae6HgSszVUZCXm6LrdKaIDclfJdfiuSvjeC/UEsBAi0AFAACAAgAg4ryXEOAgximAAAA+AAAABIAAAAAAAAAAAAAAAAAAAAAAENvbmZpZy9QYWNrYWdlLnhtbFBLAQItABQAAgAIAIOK8lwPyumrpAAAAOkAAAATAAAAAAAAAAAAAAAAAPIAAABbQ29udGVudF9UeXBlc10ueG1sUEsBAi0AFAACAAgAg4ryXM9pOzlnBwAAsyMAABMAAAAAAAAAAAAAAAAA4wEAAEZvcm11bGFzL1NlY3Rpb24xLm1QSwUGAAAAAAMAAwDCAAAAlwkAAAAAEAEAAO+7vzw/eG1sIHZlcnNpb249IjEuMCIgZW5jb2Rpbmc9InV0Zi04Ij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zjUAAAAAAACsNQAA77u/PD94bWwgdmVyc2lvbj0iMS4wIiBlbmNvZGluZz0idXRmLTgi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gLz48L0l0ZW0+PEl0ZW0+PEl0ZW1Mb2NhdGlvbj48SXRlbVR5cGU+Rm9ybXVsYTwvSXRlbVR5cGU+PEl0ZW1QYXRoPlNlY3Rpb24xL1Rhc2tzX1Jhd0RhdGE8L0l0ZW1QYXRoPjwvSXRlbUxvY2F0aW9uPjxTdGFibGVFbnRyaWVzPjxFbnRyeSBUeXBlPSJJc1ByaXZhdGUiIFZhbHVlPSJsMCIgLz48RW50cnkgVHlwZT0iUXVlcnlJRCIgVmFsdWU9InNhMjgwY2FiMi03M2I5LTQ1OWQtYTNkZi00MmRmMDQ4YWM4ZjAiIC8+PEVudHJ5IFR5cGU9IkZpbGxFbmFibGVkIiBWYWx1ZT0ibDEiIC8+PEVudHJ5IFR5cGU9IkZpbGxPYmplY3RUeXBlIiBWYWx1ZT0ic1RhYmxlIiAvPjxFbnRyeSBUeXBlPSJGaWxsVG9EYXRhTW9kZWxFbmFibGVkIiBWYWx1ZT0ibDAiIC8+PEVudHJ5IFR5cGU9Ik5hdmlnYXRpb25TdGVwTmFtZSIgVmFsdWU9InNOYXZpZ2F0aW9uIiAvPjxFbnRyeSBUeXBlPSJOYW1lVXBkYXRlZEFmdGVyRmlsbCIgVmFsdWU9ImwwIiAvPjxFbnRyeSBUeXBlPSJSZXN1bHRUeXBlIiBWYWx1ZT0ic1RhYmxlIiAvPjxFbnRyeSBUeXBlPSJCdWZmZXJOZXh0UmVmcmVzaCIgVmFsdWU9ImwxIiAvPjxFbnRyeSBUeXBlPSJGaWxsVGFyZ2V0IiBWYWx1ZT0ic3RibF9UYXNrc19DbGVhbiIgLz48RW50cnkgVHlwZT0iRmlsbGVkQ29tcGxldGVSZXN1bHRUb1dvcmtzaGVldCIgVmFsdWU9ImwxIiAvPjxFbnRyeSBUeXBlPSJSZWxhdGlvbnNoaXBJbmZvQ29udGFpbmVyIiBWYWx1ZT0ic3smcXVvdDtjb2x1bW5Db3VudCZxdW90OzoyMiwmcXVvdDtrZXlDb2x1bW5OYW1lcyZxdW90OzpbXSwmcXVvdDtxdWVyeVJlbGF0aW9uc2hpcHMmcXVvdDs6W10sJnF1b3Q7Y29sdW1uSWRlbnRpdGllcyZxdW90OzpbJnF1b3Q7U2VjdGlvbjEvVGFza3NfUmF3RGF0YS9BdXRvUmVtb3ZlZENvbHVtbnMxLntUYXNrX0lELDB9JnF1b3Q7LCZxdW90O1NlY3Rpb24xL1Rhc2tzX1Jhd0RhdGEvQXV0b1JlbW92ZWRDb2x1bW5zMS57UHJvamVjdF9JRCwxfSZxdW90OywmcXVvdDtTZWN0aW9uMS9UYXNrc19SYXdEYXRhL0F1dG9SZW1vdmVkQ29sdW1uczEue1Byb2plY3RfTmFtZSwyfSZxdW90OywmcXVvdDtTZWN0aW9uMS9UYXNrc19SYXdEYXRhL0F1dG9SZW1vdmVkQ29sdW1uczEue1Rhc2tfTmFtZSwzfSZxdW90OywmcXVvdDtTZWN0aW9uMS9UYXNrc19SYXdEYXRhL0F1dG9SZW1vdmVkQ29sdW1uczEue0RlcGFydG1lbnQsNH0mcXVvdDssJnF1b3Q7U2VjdGlvbjEvVGFza3NfUmF3RGF0YS9BdXRvUmVtb3ZlZENvbHVtbnMxLntBc3NpZ25lZF9Ubyw1fSZxdW90OywmcXVvdDtTZWN0aW9uMS9UYXNrc19SYXdEYXRhL0F1dG9SZW1vdmVkQ29sdW1uczEue1ByaW9yaXR5LDZ9JnF1b3Q7LCZxdW90O1NlY3Rpb24xL1Rhc2tzX1Jhd0RhdGEvQXV0b1JlbW92ZWRDb2x1bW5zMS57U3RhdHVzLDd9JnF1b3Q7LCZxdW90O1NlY3Rpb24xL1Rhc2tzX1Jhd0RhdGEvQXV0b1JlbW92ZWRDb2x1bW5zMS57U3RhcnRfRGF0ZSw4fSZxdW90OywmcXVvdDtTZWN0aW9uMS9UYXNrc19SYXdEYXRhL0F1dG9SZW1vdmVkQ29sdW1uczEue1BsYW5uZWRfRW5kX0RhdGUsOX0mcXVvdDssJnF1b3Q7U2VjdGlvbjEvVGFza3NfUmF3RGF0YS9BdXRvUmVtb3ZlZENvbHVtbnMxLntBY3R1YWxfRW5kX0RhdGUsMTB9JnF1b3Q7LCZxdW90O1NlY3Rpb24xL1Rhc2tzX1Jhd0RhdGEvQXV0b1JlbW92ZWRDb2x1bW5zMS57UGxhbm5lZF9Db3N0LDExfSZxdW90OywmcXVvdDtTZWN0aW9uMS9UYXNrc19SYXdEYXRhL0F1dG9SZW1vdmVkQ29sdW1uczEue0FjdHVhbF9Db3N0LDEyfSZxdW90OywmcXVvdDtTZWN0aW9uMS9UYXNrc19SYXdEYXRhL0F1dG9SZW1vdmVkQ29sdW1uczEue1BsYW5uZWRfRHVyYXRpb25fRGF5cywxM30mcXVvdDssJnF1b3Q7U2VjdGlvbjEvVGFza3NfUmF3RGF0YS9BdXRvUmVtb3ZlZENvbHVtbnMxLntEZWxheV9EYXlzLDE0fSZxdW90OywmcXVvdDtTZWN0aW9uMS9UYXNrc19SYXdEYXRhL0F1dG9SZW1vdmVkQ29sdW1uczEue0NsaWVudCwxNX0mcXVvdDssJnF1b3Q7U2VjdGlvbjEvVGFza3NfUmF3RGF0YS9BdXRvUmVtb3ZlZENvbHVtbnMxLntQcm9qZWN0X01hbmFnZXIsMTZ9JnF1b3Q7LCZxdW90O1NlY3Rpb24xL1Rhc2tzX1Jhd0RhdGEvQXV0b1JlbW92ZWRDb2x1bW5zMS57U3RhcnRfRGF0ZS4xLDE3fSZxdW90OywmcXVvdDtTZWN0aW9uMS9UYXNrc19SYXdEYXRhL0F1dG9SZW1vdmVkQ29sdW1uczEue0J1ZGdldCwxOH0mcXVvdDssJnF1b3Q7U2VjdGlvbjEvVGFza3NfUmF3RGF0YS9BdXRvUmVtb3ZlZENvbHVtbnMxLntFbXBsb3llZV9JRCwxOX0mcXVvdDssJnF1b3Q7U2VjdGlvbjEvVGFza3NfUmF3RGF0YS9BdXRvUmVtb3ZlZENvbHVtbnMxLntSb2xlLDIwfSZxdW90OywmcXVvdDtTZWN0aW9uMS9UYXNrc19SYXdEYXRhL0F1dG9SZW1vdmVkQ29sdW1uczEue0hvdXJseV9SYXRlLDIxfSZxdW90O10sJnF1b3Q7Q29sdW1uQ291bnQmcXVvdDs6MjIsJnF1b3Q7S2V5Q29sdW1uTmFtZXMmcXVvdDs6W10sJnF1b3Q7Q29sdW1uSWRlbnRpdGllcyZxdW90OzpbJnF1b3Q7U2VjdGlvbjEvVGFza3NfUmF3RGF0YS9BdXRvUmVtb3ZlZENvbHVtbnMxLntUYXNrX0lELDB9JnF1b3Q7LCZxdW90O1NlY3Rpb24xL1Rhc2tzX1Jhd0RhdGEvQXV0b1JlbW92ZWRDb2x1bW5zMS57UHJvamVjdF9JRCwxfSZxdW90OywmcXVvdDtTZWN0aW9uMS9UYXNrc19SYXdEYXRhL0F1dG9SZW1vdmVkQ29sdW1uczEue1Byb2plY3RfTmFtZSwyfSZxdW90OywmcXVvdDtTZWN0aW9uMS9UYXNrc19SYXdEYXRhL0F1dG9SZW1vdmVkQ29sdW1uczEue1Rhc2tfTmFtZSwzfSZxdW90OywmcXVvdDtTZWN0aW9uMS9UYXNrc19SYXdEYXRhL0F1dG9SZW1vdmVkQ29sdW1uczEue0RlcGFydG1lbnQsNH0mcXVvdDssJnF1b3Q7U2VjdGlvbjEvVGFza3NfUmF3RGF0YS9BdXRvUmVtb3ZlZENvbHVtbnMxLntBc3NpZ25lZF9Ubyw1fSZxdW90OywmcXVvdDtTZWN0aW9uMS9UYXNrc19SYXdEYXRhL0F1dG9SZW1vdmVkQ29sdW1uczEue1ByaW9yaXR5LDZ9JnF1b3Q7LCZxdW90O1NlY3Rpb24xL1Rhc2tzX1Jhd0RhdGEvQXV0b1JlbW92ZWRDb2x1bW5zMS57U3RhdHVzLDd9JnF1b3Q7LCZxdW90O1NlY3Rpb24xL1Rhc2tzX1Jhd0RhdGEvQXV0b1JlbW92ZWRDb2x1bW5zMS57U3RhcnRfRGF0ZSw4fSZxdW90OywmcXVvdDtTZWN0aW9uMS9UYXNrc19SYXdEYXRhL0F1dG9SZW1vdmVkQ29sdW1uczEue1BsYW5uZWRfRW5kX0RhdGUsOX0mcXVvdDssJnF1b3Q7U2VjdGlvbjEvVGFza3NfUmF3RGF0YS9BdXRvUmVtb3ZlZENvbHVtbnMxLntBY3R1YWxfRW5kX0RhdGUsMTB9JnF1b3Q7LCZxdW90O1NlY3Rpb24xL1Rhc2tzX1Jhd0RhdGEvQXV0b1JlbW92ZWRDb2x1bW5zMS57UGxhbm5lZF9Db3N0LDExfSZxdW90OywmcXVvdDtTZWN0aW9uMS9UYXNrc19SYXdEYXRhL0F1dG9SZW1vdmVkQ29sdW1uczEue0FjdHVhbF9Db3N0LDEyfSZxdW90OywmcXVvdDtTZWN0aW9uMS9UYXNrc19SYXdEYXRhL0F1dG9SZW1vdmVkQ29sdW1uczEue1BsYW5uZWRfRHVyYXRpb25fRGF5cywxM30mcXVvdDssJnF1b3Q7U2VjdGlvbjEvVGFza3NfUmF3RGF0YS9BdXRvUmVtb3ZlZENvbHVtbnMxLntEZWxheV9EYXlzLDE0fSZxdW90OywmcXVvdDtTZWN0aW9uMS9UYXNrc19SYXdEYXRhL0F1dG9SZW1vdmVkQ29sdW1uczEue0NsaWVudCwxNX0mcXVvdDssJnF1b3Q7U2VjdGlvbjEvVGFza3NfUmF3RGF0YS9BdXRvUmVtb3ZlZENvbHVtbnMxLntQcm9qZWN0X01hbmFnZXIsMTZ9JnF1b3Q7LCZxdW90O1NlY3Rpb24xL1Rhc2tzX1Jhd0RhdGEvQXV0b1JlbW92ZWRDb2x1bW5zMS57U3RhcnRfRGF0ZS4xLDE3fSZxdW90OywmcXVvdDtTZWN0aW9uMS9UYXNrc19SYXdEYXRhL0F1dG9SZW1vdmVkQ29sdW1uczEue0J1ZGdldCwxOH0mcXVvdDssJnF1b3Q7U2VjdGlvbjEvVGFza3NfUmF3RGF0YS9BdXRvUmVtb3ZlZENvbHVtbnMxLntFbXBsb3llZV9JRCwxOX0mcXVvdDssJnF1b3Q7U2VjdGlvbjEvVGFza3NfUmF3RGF0YS9BdXRvUmVtb3ZlZENvbHVtbnMxLntSb2xlLDIwfSZxdW90OywmcXVvdDtTZWN0aW9uMS9UYXNrc19SYXdEYXRhL0F1dG9SZW1vdmVkQ29sdW1uczEue0hvdXJseV9SYXRlLDIxfSZxdW90O10sJnF1b3Q7UmVsYXRpb25zaGlwSW5mbyZxdW90OzpbXX0iIC8+PEVudHJ5IFR5cGU9IkZpbGxTdGF0dXMiIFZhbHVlPSJzQ29tcGxldGUiIC8+PEVudHJ5IFR5cGU9IkZpbGxDb2x1bW5OYW1lcyIgVmFsdWU9InNbJnF1b3Q7VGFza19JRCZxdW90OywmcXVvdDtQcm9qZWN0X0lEJnF1b3Q7LCZxdW90O1Byb2plY3RfTmFtZSZxdW90OywmcXVvdDtUYXNrX05hbWUmcXVvdDssJnF1b3Q7RGVwYXJ0bWVudCZxdW90OywmcXVvdDtBc3NpZ25lZF9UbyZxdW90OywmcXVvdDtQcmlvcml0eSZxdW90OywmcXVvdDtTdGF0dXMmcXVvdDssJnF1b3Q7U3RhcnRfRGF0ZSZxdW90OywmcXVvdDtQbGFubmVkX0VuZF9EYXRlJnF1b3Q7LCZxdW90O0FjdHVhbF9FbmRfRGF0ZSZxdW90OywmcXVvdDtQbGFubmVkX0Nvc3QmcXVvdDssJnF1b3Q7QWN0dWFsX0Nvc3QmcXVvdDssJnF1b3Q7UGxhbm5lZF9EdXJhdGlvbl9EYXlzJnF1b3Q7LCZxdW90O0RlbGF5X0RheXMmcXVvdDssJnF1b3Q7Q2xpZW50JnF1b3Q7LCZxdW90O1Byb2plY3RfTWFuYWdlciZxdW90OywmcXVvdDtTdGFydF9EYXRlLjEmcXVvdDssJnF1b3Q7QnVkZ2V0JnF1b3Q7LCZxdW90O0VtcGxveWVlX0lEJnF1b3Q7LCZxdW90O1JvbGUmcXVvdDssJnF1b3Q7SG91cmx5X1JhdGUmcXVvdDtdIiAvPjxFbnRyeSBUeXBlPSJGaWxsQ29sdW1uVHlwZXMiIFZhbHVlPSJzQmdZR0JnQUdCZ1lKQ1FrRkJRTURCZ1lKQXdZR0F3PT0iIC8+PEVudHJ5IFR5cGU9IkZpbGxMYXN0VXBkYXRlZCIgVmFsdWU9ImQyMDI2LTA3LTE4VDAwOjQ3OjE4LjUxMTY4NTJaIiAvPjxFbnRyeSBUeXBlPSJGaWxsRXJyb3JDb3VudCIgVmFsdWU9ImwwIiAvPjxFbnRyeSBUeXBlPSJGaWxsRXJyb3JDb2RlIiBWYWx1ZT0ic1Vua25vd24iIC8+PEVudHJ5IFR5cGU9IkZpbGxDb3VudCIgVmFsdWU9ImwzMDkiIC8+PEVudHJ5IFR5cGU9IkFkZGVkVG9EYXRhTW9kZWwiIFZhbHVlPSJsMCIgLz48RW50cnkgVHlwZT0iRmlsbFRhcmdldE5hbWVDdXN0b21pemVkIiBWYWx1ZT0ibDEiIC8+PC9TdGFibGVFbnRyaWVzPjwvSXRlbT48SXRlbT48SXRlbUxvY2F0aW9uPjxJdGVtVHlwZT5Gb3JtdWxhPC9JdGVtVHlwZT48SXRlbVBhdGg+U2VjdGlvbjEvVGFza3NfUmF3RGF0YS9Tb3VyY2U8L0l0ZW1QYXRoPjwvSXRlbUxvY2F0aW9uPjxTdGFibGVFbnRyaWVzIC8+PC9JdGVtPjxJdGVtPjxJdGVtTG9jYXRpb24+PEl0ZW1UeXBlPkZvcm11bGE8L0l0ZW1UeXBlPjxJdGVtUGF0aD5TZWN0aW9uMS9UYXNrc19SYXdEYXRhL1JlbW92ZWREdXBsaWNhdGVzPC9JdGVtUGF0aD48L0l0ZW1Mb2NhdGlvbj48U3RhYmxlRW50cmllcyAvPjwvSXRlbT48SXRlbT48SXRlbUxvY2F0aW9uPjxJdGVtVHlwZT5Gb3JtdWxhPC9JdGVtVHlwZT48SXRlbVBhdGg+U2VjdGlvbjEvVGFza3NfUmF3RGF0YS9QYXJzZURhdGU8L0l0ZW1QYXRoPjwvSXRlbUxvY2F0aW9uPjxTdGFibGVFbnRyaWVzIC8+PC9JdGVtPjxJdGVtPjxJdGVtTG9jYXRpb24+PEl0ZW1UeXBlPkZvcm11bGE8L0l0ZW1UeXBlPjxJdGVtUGF0aD5TZWN0aW9uMS9UYXNrc19SYXdEYXRhL0NsZWFuVGV4dFZhbHVlPC9JdGVtUGF0aD48L0l0ZW1Mb2NhdGlvbj48U3RhYmxlRW50cmllcyAvPjwvSXRlbT48SXRlbT48SXRlbUxvY2F0aW9uPjxJdGVtVHlwZT5Gb3JtdWxhPC9JdGVtVHlwZT48SXRlbVBhdGg+U2VjdGlvbjEvVGFza3NfUmF3RGF0YS9DbGVhblRleHRDb2x1bW5zPC9JdGVtUGF0aD48L0l0ZW1Mb2NhdGlvbj48U3RhYmxlRW50cmllcyAvPjwvSXRlbT48SXRlbT48SXRlbUxvY2F0aW9uPjxJdGVtVHlwZT5Gb3JtdWxhPC9JdGVtVHlwZT48SXRlbVBhdGg+U2VjdGlvbjEvVGFza3NfUmF3RGF0YS9SZW1vdmVkVGVzdFJvd3M8L0l0ZW1QYXRoPjwvSXRlbUxvY2F0aW9uPjxTdGFibGVFbnRyaWVzIC8+PC9JdGVtPjxJdGVtPjxJdGVtTG9jYXRpb24+PEl0ZW1UeXBlPkZvcm11bGE8L0l0ZW1UeXBlPjxJdGVtUGF0aD5TZWN0aW9uMS9UYXNrc19SYXdEYXRhL0ZpeGVkRGVwYXJ0bWVudDwvSXRlbVBhdGg+PC9JdGVtTG9jYXRpb24+PFN0YWJsZUVudHJpZXMgLz48L0l0ZW0+PEl0ZW0+PEl0ZW1Mb2NhdGlvbj48SXRlbVR5cGU+Rm9ybXVsYTwvSXRlbVR5cGU+PEl0ZW1QYXRoPlNlY3Rpb24xL1Rhc2tzX1Jhd0RhdGEvRml4ZWRTdGF0dXM8L0l0ZW1QYXRoPjwvSXRlbUxvY2F0aW9uPjxTdGFibGVFbnRyaWVzIC8+PC9JdGVtPjxJdGVtPjxJdGVtTG9jYXRpb24+PEl0ZW1UeXBlPkZvcm11bGE8L0l0ZW1UeXBlPjxJdGVtUGF0aD5TZWN0aW9uMS9UYXNrc19SYXdEYXRhL0ZpeGVkUHJpb3JpdHk8L0l0ZW1QYXRoPjwvSXRlbUxvY2F0aW9uPjxTdGFibGVFbnRyaWVzIC8+PC9JdGVtPjxJdGVtPjxJdGVtTG9jYXRpb24+PEl0ZW1UeXBlPkZvcm11bGE8L0l0ZW1UeXBlPjxJdGVtUGF0aD5TZWN0aW9uMS9UYXNrc19SYXdEYXRhL0ZpeGVkQXNzaWduZWRUbzwvSXRlbVBhdGg+PC9JdGVtTG9jYXRpb24+PFN0YWJsZUVudHJpZXMgLz48L0l0ZW0+PEl0ZW0+PEl0ZW1Mb2NhdGlvbj48SXRlbVR5cGU+Rm9ybXVsYTwvSXRlbVR5cGU+PEl0ZW1QYXRoPlNlY3Rpb24xL1Rhc2tzX1Jhd0RhdGEvRml4ZWRDb3N0czwvSXRlbVBhdGg+PC9JdGVtTG9jYXRpb24+PFN0YWJsZUVudHJpZXMgLz48L0l0ZW0+PEl0ZW0+PEl0ZW1Mb2NhdGlvbj48SXRlbVR5cGU+Rm9ybXVsYTwvSXRlbVR5cGU+PEl0ZW1QYXRoPlNlY3Rpb24xL1Rhc2tzX1Jhd0RhdGEvRml4ZWREYXRlczwvSXRlbVBhdGg+PC9JdGVtTG9jYXRpb24+PFN0YWJsZUVudHJpZXMgLz48L0l0ZW0+PEl0ZW0+PEl0ZW1Mb2NhdGlvbj48SXRlbVR5cGU+Rm9ybXVsYTwvSXRlbVR5cGU+PEl0ZW1QYXRoPlNlY3Rpb24xL1Rhc2tzX1Jhd0RhdGEvQWRkZWRQbGFubmVkRHVyYXRpb248L0l0ZW1QYXRoPjwvSXRlbUxvY2F0aW9uPjxTdGFibGVFbnRyaWVzIC8+PC9JdGVtPjxJdGVtPjxJdGVtTG9jYXRpb24+PEl0ZW1UeXBlPkZvcm11bGE8L0l0ZW1UeXBlPjxJdGVtUGF0aD5TZWN0aW9uMS9UYXNrc19SYXdEYXRhL0FkZGVkRGVsYXlEYXlzPC9JdGVtUGF0aD48L0l0ZW1Mb2NhdGlvbj48U3RhYmxlRW50cmllcyAvPjwvSXRlbT48SXRlbT48SXRlbUxvY2F0aW9uPjxJdGVtVHlwZT5Gb3JtdWxhPC9JdGVtVHlwZT48SXRlbVBhdGg+U2VjdGlvbjEvdGJsX1Byb2plY3RzPC9JdGVtUGF0aD48L0l0ZW1Mb2NhdGlvbj48U3RhYmxlRW50cmllcz48RW50cnkgVHlwZT0iSXNQcml2YXRlIiBWYWx1ZT0ibDAiIC8+PEVudHJ5IFR5cGU9IkZpbGxFbmFibGVkIiBWYWx1ZT0ibDAiIC8+PEVudHJ5IFR5cGU9IkZpbGxPYmplY3RUeXBlIiBWYWx1ZT0ic0Nvbm5lY3Rpb25Pbmx5IiAvPjxFbnRyeSBUeXBlPSJGaWxsVG9EYXRhTW9kZWxFbmFibGVkIiBWYWx1ZT0ibDAiIC8+PEVudHJ5IFR5cGU9IlF1ZXJ5SUQiIFZhbHVlPSJzNjhlMzJjNmItNjAyOS00MTFlLWE3NzMtZmEyMzJjN2IwMGMyIiAvPjxFbnRyeSBUeXBlPSJCdWZmZXJOZXh0UmVmcmVzaCIgVmFsdWU9ImwxIiAvPjxFbnRyeSBUeXBlPSJSZXN1bHRUeXBlIiBWYWx1ZT0ic1RhYmxlIiAvPjxFbnRyeSBUeXBlPSJOYW1lVXBkYXRlZEFmdGVyRmlsbCIgVmFsdWU9ImwwIiAvPjxFbnRyeSBUeXBlPSJOYXZpZ2F0aW9uU3RlcE5hbWUiIFZhbHVlPSJzTmF2aWdhdGlvbiIgLz48RW50cnkgVHlwZT0iRmlsbGVkQ29tcGxldGVSZXN1bHRUb1dvcmtzaGVldCIgVmFsdWU9ImwxIiAvPjxFbnRyeSBUeXBlPSJBZGRlZFRvRGF0YU1vZGVsIiBWYWx1ZT0ibDAiIC8+PEVudHJ5IFR5cGU9IkZpbGxDb3VudCIgVmFsdWU9ImwxNSIgLz48RW50cnkgVHlwZT0iRmlsbEVycm9yQ29kZSIgVmFsdWU9InNVbmtub3duIiAvPjxFbnRyeSBUeXBlPSJGaWxsRXJyb3JDb3VudCIgVmFsdWU9ImwwIiAvPjxFbnRyeSBUeXBlPSJGaWxsTGFzdFVwZGF0ZWQiIFZhbHVlPSJkMjAyNi0wNy0xOFQwMDozNzoyMi4zMDkzNzA5WiIgLz48RW50cnkgVHlwZT0iRmlsbENvbHVtblR5cGVzIiBWYWx1ZT0ic0JnWUdCZ2tEIiAvPjxFbnRyeSBUeXBlPSJGaWxsQ29sdW1uTmFtZXMiIFZhbHVlPSJzWyZxdW90O1Byb2plY3RfSUQmcXVvdDssJnF1b3Q7UHJvamVjdF9OYW1lJnF1b3Q7LCZxdW90O0NsaWVudCZxdW90OywmcXVvdDtQcm9qZWN0X01hbmFnZXImcXVvdDssJnF1b3Q7U3RhcnRfRGF0ZSZxdW90OywmcXVvdDtCdWRnZXQmcXVvdDtdIiAvPjxFbnRyeSBUeXBlPSJGaWxsU3RhdHVzIiBWYWx1ZT0ic0NvbXBsZXRlIiAvPjxFbnRyeSBUeXBlPSJSZWxhdGlvbnNoaXBJbmZvQ29udGFpbmVyIiBWYWx1ZT0ic3smcXVvdDtjb2x1bW5Db3VudCZxdW90Ozo2LCZxdW90O2tleUNvbHVtbk5hbWVzJnF1b3Q7OltdLCZxdW90O3F1ZXJ5UmVsYXRpb25zaGlwcyZxdW90OzpbXSwmcXVvdDtjb2x1bW5JZGVudGl0aWVzJnF1b3Q7OlsmcXVvdDtTZWN0aW9uMS90YmxfUHJvamVjdHMvQXV0b1JlbW92ZWRDb2x1bW5zMS57UHJvamVjdF9JRCwwfSZxdW90OywmcXVvdDtTZWN0aW9uMS90YmxfUHJvamVjdHMvQXV0b1JlbW92ZWRDb2x1bW5zMS57UHJvamVjdF9OYW1lLDF9JnF1b3Q7LCZxdW90O1NlY3Rpb24xL3RibF9Qcm9qZWN0cy9BdXRvUmVtb3ZlZENvbHVtbnMxLntDbGllbnQsMn0mcXVvdDssJnF1b3Q7U2VjdGlvbjEvdGJsX1Byb2plY3RzL0F1dG9SZW1vdmVkQ29sdW1uczEue1Byb2plY3RfTWFuYWdlciwzfSZxdW90OywmcXVvdDtTZWN0aW9uMS90YmxfUHJvamVjdHMvQXV0b1JlbW92ZWRDb2x1bW5zMS57U3RhcnRfRGF0ZSw0fSZxdW90OywmcXVvdDtTZWN0aW9uMS90YmxfUHJvamVjdHMvQXV0b1JlbW92ZWRDb2x1bW5zMS57QnVkZ2V0LDV9JnF1b3Q7XSwmcXVvdDtDb2x1bW5Db3VudCZxdW90Ozo2LCZxdW90O0tleUNvbHVtbk5hbWVzJnF1b3Q7OltdLCZxdW90O0NvbHVtbklkZW50aXRpZXMmcXVvdDs6WyZxdW90O1NlY3Rpb24xL3RibF9Qcm9qZWN0cy9BdXRvUmVtb3ZlZENvbHVtbnMxLntQcm9qZWN0X0lELDB9JnF1b3Q7LCZxdW90O1NlY3Rpb24xL3RibF9Qcm9qZWN0cy9BdXRvUmVtb3ZlZENvbHVtbnMxLntQcm9qZWN0X05hbWUsMX0mcXVvdDssJnF1b3Q7U2VjdGlvbjEvdGJsX1Byb2plY3RzL0F1dG9SZW1vdmVkQ29sdW1uczEue0NsaWVudCwyfSZxdW90OywmcXVvdDtTZWN0aW9uMS90YmxfUHJvamVjdHMvQXV0b1JlbW92ZWRDb2x1bW5zMS57UHJvamVjdF9NYW5hZ2VyLDN9JnF1b3Q7LCZxdW90O1NlY3Rpb24xL3RibF9Qcm9qZWN0cy9BdXRvUmVtb3ZlZENvbHVtbnMxLntTdGFydF9EYXRlLDR9JnF1b3Q7LCZxdW90O1NlY3Rpb24xL3RibF9Qcm9qZWN0cy9BdXRvUmVtb3ZlZENvbHVtbnMxLntCdWRnZXQsNX0mcXVvdDtdLCZxdW90O1JlbGF0aW9uc2hpcEluZm8mcXVvdDs6W119IiAvPjwvU3RhYmxlRW50cmllcz48L0l0ZW0+PEl0ZW0+PEl0ZW1Mb2NhdGlvbj48SXRlbVR5cGU+Rm9ybXVsYTwvSXRlbVR5cGU+PEl0ZW1QYXRoPlNlY3Rpb24xL3RibF9Qcm9qZWN0cy9Tb3VyY2U8L0l0ZW1QYXRoPjwvSXRlbUxvY2F0aW9uPjxTdGFibGVFbnRyaWVzIC8+PC9JdGVtPjxJdGVtPjxJdGVtTG9jYXRpb24+PEl0ZW1UeXBlPkZvcm11bGE8L0l0ZW1UeXBlPjxJdGVtUGF0aD5TZWN0aW9uMS90YmxfUHJvamVjdHMvQ2hhbmdlZCUyMFR5cGU8L0l0ZW1QYXRoPjwvSXRlbUxvY2F0aW9uPjxTdGFibGVFbnRyaWVzIC8+PC9JdGVtPjxJdGVtPjxJdGVtTG9jYXRpb24+PEl0ZW1UeXBlPkZvcm11bGE8L0l0ZW1UeXBlPjxJdGVtUGF0aD5TZWN0aW9uMS90YmxfRW1wbG95ZWVzPC9JdGVtUGF0aD48L0l0ZW1Mb2NhdGlvbj48U3RhYmxlRW50cmllcz48RW50cnkgVHlwZT0iSXNQcml2YXRlIiBWYWx1ZT0ibDAiIC8+PEVudHJ5IFR5cGU9IlF1ZXJ5SUQiIFZhbHVlPSJzNTk4MjUxODUtMzQ5NC00OTJjLTg5YTItZjIxNjg0MjllMjIwIiAvPjxFbnRyeSBUeXBlPSJGaWxsRW5hYmxlZCIgVmFsdWU9ImwwIiAvPjxFbnRyeSBUeXBlPSJGaWxsT2JqZWN0VHlwZSIgVmFsdWU9InNDb25uZWN0aW9uT25seSIgLz48RW50cnkgVHlwZT0iRmlsbFRvRGF0YU1vZGVsRW5hYmxlZCIgVmFsdWU9ImwwIiAvPjxFbnRyeSBUeXBlPSJCdWZmZXJOZXh0UmVmcmVzaCIgVmFsdWU9ImwxIiAvPjxFbnRyeSBUeXBlPSJSZXN1bHRUeXBlIiBWYWx1ZT0ic1RhYmxlIiAvPjxFbnRyeSBUeXBlPSJOYW1lVXBkYXRlZEFmdGVyRmlsbCIgVmFsdWU9ImwwIiAvPjxFbnRyeSBUeXBlPSJOYXZpZ2F0aW9uU3RlcE5hbWUiIFZhbHVlPSJzTmF2aWdhdGlvbiIgLz48RW50cnkgVHlwZT0iRmlsbGVkQ29tcGxldGVSZXN1bHRUb1dvcmtzaGVldCIgVmFsdWU9ImwxIiAvPjxFbnRyeSBUeXBlPSJBZGRlZFRvRGF0YU1vZGVsIiBWYWx1ZT0ibDAiIC8+PEVudHJ5IFR5cGU9IkZpbGxDb3VudCIgVmFsdWU9ImwyNyIgLz48RW50cnkgVHlwZT0iRmlsbEVycm9yQ29kZSIgVmFsdWU9InNVbmtub3duIiAvPjxFbnRyeSBUeXBlPSJGaWxsRXJyb3JDb3VudCIgVmFsdWU9ImwwIiAvPjxFbnRyeSBUeXBlPSJGaWxsTGFzdFVwZGF0ZWQiIFZhbHVlPSJkMjAyNi0wNy0xOFQwMDo0NzoxOC41MzY3MTUwWiIgLz48RW50cnkgVHlwZT0iRmlsbENvbHVtblR5cGVzIiBWYWx1ZT0ic0JnWUdCZ009IiAvPjxFbnRyeSBUeXBlPSJGaWxsQ29sdW1uTmFtZXMiIFZhbHVlPSJzWyZxdW90O0VtcGxveWVlX0lEJnF1b3Q7LCZxdW90O0VtcGxveWVlX05hbWUmcXVvdDssJnF1b3Q7RGVwYXJ0bWVudCZxdW90OywmcXVvdDtSb2xlJnF1b3Q7LCZxdW90O0hvdXJseV9SYXRlJnF1b3Q7XSIgLz48RW50cnkgVHlwZT0iRmlsbFN0YXR1cyIgVmFsdWU9InNDb21wbGV0ZSIgLz48RW50cnkgVHlwZT0iUmVsYXRpb25zaGlwSW5mb0NvbnRhaW5lciIgVmFsdWU9InN7JnF1b3Q7Y29sdW1uQ291bnQmcXVvdDs6NSwmcXVvdDtrZXlDb2x1bW5OYW1lcyZxdW90OzpbXSwmcXVvdDtxdWVyeVJlbGF0aW9uc2hpcHMmcXVvdDs6W10sJnF1b3Q7Y29sdW1uSWRlbnRpdGllcyZxdW90OzpbJnF1b3Q7U2VjdGlvbjEvdGJsX0VtcGxveWVlcy9BdXRvUmVtb3ZlZENvbHVtbnMxLntFbXBsb3llZV9JRCwwfSZxdW90OywmcXVvdDtTZWN0aW9uMS90YmxfRW1wbG95ZWVzL0F1dG9SZW1vdmVkQ29sdW1uczEue0VtcGxveWVlX05hbWUsMX0mcXVvdDssJnF1b3Q7U2VjdGlvbjEvdGJsX0VtcGxveWVlcy9BdXRvUmVtb3ZlZENvbHVtbnMxLntEZXBhcnRtZW50LDJ9JnF1b3Q7LCZxdW90O1NlY3Rpb24xL3RibF9FbXBsb3llZXMvQXV0b1JlbW92ZWRDb2x1bW5zMS57Um9sZSwzfSZxdW90OywmcXVvdDtTZWN0aW9uMS90YmxfRW1wbG95ZWVzL0F1dG9SZW1vdmVkQ29sdW1uczEue0hvdXJseV9SYXRlLDR9JnF1b3Q7XSwmcXVvdDtDb2x1bW5Db3VudCZxdW90Ozo1LCZxdW90O0tleUNvbHVtbk5hbWVzJnF1b3Q7OltdLCZxdW90O0NvbHVtbklkZW50aXRpZXMmcXVvdDs6WyZxdW90O1NlY3Rpb24xL3RibF9FbXBsb3llZXMvQXV0b1JlbW92ZWRDb2x1bW5zMS57RW1wbG95ZWVfSUQsMH0mcXVvdDssJnF1b3Q7U2VjdGlvbjEvdGJsX0VtcGxveWVlcy9BdXRvUmVtb3ZlZENvbHVtbnMxLntFbXBsb3llZV9OYW1lLDF9JnF1b3Q7LCZxdW90O1NlY3Rpb24xL3RibF9FbXBsb3llZXMvQXV0b1JlbW92ZWRDb2x1bW5zMS57RGVwYXJ0bWVudCwyfSZxdW90OywmcXVvdDtTZWN0aW9uMS90YmxfRW1wbG95ZWVzL0F1dG9SZW1vdmVkQ29sdW1uczEue1JvbGUsM30mcXVvdDssJnF1b3Q7U2VjdGlvbjEvdGJsX0VtcGxveWVlcy9BdXRvUmVtb3ZlZENvbHVtbnMxLntIb3VybHlfUmF0ZSw0fSZxdW90O10sJnF1b3Q7UmVsYXRpb25zaGlwSW5mbyZxdW90OzpbXX0iIC8+PC9TdGFibGVFbnRyaWVzPjwvSXRlbT48SXRlbT48SXRlbUxvY2F0aW9uPjxJdGVtVHlwZT5Gb3JtdWxhPC9JdGVtVHlwZT48SXRlbVBhdGg+U2VjdGlvbjEvdGJsX0VtcGxveWVlcy9Tb3VyY2U8L0l0ZW1QYXRoPjwvSXRlbUxvY2F0aW9uPjxTdGFibGVFbnRyaWVzIC8+PC9JdGVtPjxJdGVtPjxJdGVtTG9jYXRpb24+PEl0ZW1UeXBlPkZvcm11bGE8L0l0ZW1UeXBlPjxJdGVtUGF0aD5TZWN0aW9uMS90YmxfRW1wbG95ZWVzL0NoYW5nZWQlMjBUeXBlPC9JdGVtUGF0aD48L0l0ZW1Mb2NhdGlvbj48U3RhYmxlRW50cmllcyAvPjwvSXRlbT48SXRlbT48SXRlbUxvY2F0aW9uPjxJdGVtVHlwZT5Gb3JtdWxhPC9JdGVtVHlwZT48SXRlbVBhdGg+U2VjdGlvbjEvVGFza3NfUmF3RGF0YS9NZXJnZWQlMjBRdWVyaWVzPC9JdGVtUGF0aD48L0l0ZW1Mb2NhdGlvbj48U3RhYmxlRW50cmllcyAvPjwvSXRlbT48SXRlbT48SXRlbUxvY2F0aW9uPjxJdGVtVHlwZT5Gb3JtdWxhPC9JdGVtVHlwZT48SXRlbVBhdGg+U2VjdGlvbjEvVGFza3NfUmF3RGF0YS9NZXJnZWQlMjBRdWVyaWVzMTwvSXRlbVBhdGg+PC9JdGVtTG9jYXRpb24+PFN0YWJsZUVudHJpZXMgLz48L0l0ZW0+PEl0ZW0+PEl0ZW1Mb2NhdGlvbj48SXRlbVR5cGU+Rm9ybXVsYTwvSXRlbVR5cGU+PEl0ZW1QYXRoPlNlY3Rpb24xL1Rhc2tzX1Jhd0RhdGEvRXhwYW5kZWQlMjB0YmxfUHJvamVjdHM8L0l0ZW1QYXRoPjwvSXRlbUxvY2F0aW9uPjxTdGFibGVFbnRyaWVzIC8+PC9JdGVtPjxJdGVtPjxJdGVtTG9jYXRpb24+PEl0ZW1UeXBlPkZvcm11bGE8L0l0ZW1UeXBlPjxJdGVtUGF0aD5TZWN0aW9uMS9UYXNrc19SYXdEYXRhL0V4cGFuZGVkJTIwdGJsX0VtcGxveWVlczwvSXRlbVBhdGg+PC9JdGVtTG9jYXRpb24+PFN0YWJsZUVudHJpZXMgLz48L0l0ZW0+PEl0ZW0+PEl0ZW1Mb2NhdGlvbj48SXRlbVR5cGU+Rm9ybXVsYTwvSXRlbVR5cGU+PEl0ZW1QYXRoPlNlY3Rpb24xL1Rhc2tzX1Jhd0RhdGEvQWRkZWQlMjBDb25kaXRpb25hbCUyMENvbHVtbjwvSXRlbVBhdGg+PC9JdGVtTG9jYXRpb24+PFN0YWJsZUVudHJpZXMgLz48L0l0ZW0+PEl0ZW0+PEl0ZW1Mb2NhdGlvbj48SXRlbVR5cGU+Rm9ybXVsYTwvSXRlbVR5cGU+PEl0ZW1QYXRoPlNlY3Rpb24xL1Rhc2tzX1Jhd0RhdGEvUmVtb3ZlZCUyMENvbHVtbnM8L0l0ZW1QYXRoPjwvSXRlbUxvY2F0aW9uPjxTdGFibGVFbnRyaWVzIC8+PC9JdGVtPjxJdGVtPjxJdGVtTG9jYXRpb24+PEl0ZW1UeXBlPkZvcm11bGE8L0l0ZW1UeXBlPjxJdGVtUGF0aD5TZWN0aW9uMS9UYXNrc19SYXdEYXRhL0ZpbHRlcmVkJTIwUm93czwvSXRlbVBhdGg+PC9JdGVtTG9jYXRpb24+PFN0YWJsZUVudHJpZXMgLz48L0l0ZW0+PEl0ZW0+PEl0ZW1Mb2NhdGlvbj48SXRlbVR5cGU+Rm9ybXVsYTwvSXRlbVR5cGU+PEl0ZW1QYXRoPlNlY3Rpb24xL1Rhc2tzX1Jhd0RhdGEvUmVvcmRlcmVkJTIwQ29sdW1uczwvSXRlbVBhdGg+PC9JdGVtTG9jYXRpb24+PFN0YWJsZUVudHJpZXMgLz48L0l0ZW0+PEl0ZW0+PEl0ZW1Mb2NhdGlvbj48SXRlbVR5cGU+Rm9ybXVsYTwvSXRlbVR5cGU+PEl0ZW1QYXRoPlNlY3Rpb24xL1Rhc2tzX1Jhd0RhdGEvUmVuYW1lZCUyMENvbHVtbnM8L0l0ZW1QYXRoPjwvSXRlbUxvY2F0aW9uPjxTdGFibGVFbnRyaWVzIC8+PC9JdGVtPjwvSXRlbXM+PC9Mb2NhbFBhY2thZ2VNZXRhZGF0YUZpbGU+FgAAAFBLBQYAAAAAAAAAAAAAAAAAAAAAAAAmAQAAAQAAANCMnd8BFdERjHoAwE/Cl+sBAAAAmc7oHs+9W0WQz65sxvVwawAAAAACAAAAAAAQZgAAAAEAACAAAADB7wRneL5gGePVmFNsmava7WoPAIoUC6GNkJ9egulkGwAAAAAOgAAAAAIAACAAAADJxO3bv3RIkJK2ML456BijuILQvYPisUVRbd9MRHU4klAAAABt2P09V0EXJ+YDXVGOJdGCWOf45o04ZY+UGAMmNcEj1BsoFf6O1UGtb+7m9tbN1+2A8G2PWNFcSR2UxGCc0mEQqyvyc643/SF0mDOFqrCmK0AAAABoS3o5hytdmMqE6bKtrr495K6lut9b4tiLS7JLifvssJW5NGB69IB3pyOmpAqTGQAfHGfD3WfYJPoohPWD0jmv</DataMashup>
</file>

<file path=customXml/item15.xml><?xml version="1.0" encoding="utf-8"?>
<Gemini xmlns="http://gemini/pivotcustomization/ClientWindowXML">
  <CustomContent><![CDATA[tbl_Tasks_Clean]]></CustomContent>
</Gemini>
</file>

<file path=customXml/item16.xml><?xml version="1.0" encoding="utf-8"?>
<Gemini xmlns="http://gemini/pivotcustomization/PowerPivotVersion">
  <CustomContent><![CDATA[2015.130.1606.46]]></CustomContent>
</Gemini>
</file>

<file path=customXml/item17.xml><?xml version="1.0" encoding="utf-8"?>
<Gemini xmlns="http://gemini/pivotcustomization/ce96a48b-af8f-4bdb-9e82-8ae732a80352">
  <CustomContent><![CDATA[<?xml version="1.0" encoding="utf-16"?><Settings><CalculatedFields><item><MeasureName>Total Planned Cost</MeasureName><DisplayName>Total Planned Cost</DisplayName><Visible>False</Visible></item><item><MeasureName>Total Actual Cost</MeasureName><DisplayName>Total Actual Cost</DisplayName><Visible>False</Visible></item><item><MeasureName>Cost Variance</MeasureName><DisplayName>Cost Variance</DisplayName><Visible>False</Visible></item></CalculatedFields><SAHostHash>0</SAHostHash><GeminiFieldListVisible>True</GeminiFieldListVisible></Settings>]]></CustomContent>
</Gemini>
</file>

<file path=customXml/item18.xml><?xml version="1.0" encoding="utf-8"?>
<Gemini xmlns="http://gemini/pivotcustomization/TableOrder">
  <CustomContent><![CDATA[tbl_Tasks_Clean,tbl_Projects,tbl_Employees]]></CustomContent>
</Gemini>
</file>

<file path=customXml/item19.xml><?xml version="1.0" encoding="utf-8"?>
<Gemini xmlns="http://gemini/pivotcustomization/ShowImplicitMeasures">
  <CustomContent><![CDATA[False]]></CustomContent>
</Gemini>
</file>

<file path=customXml/item20.xml><?xml version="1.0" encoding="utf-8"?>
<Gemini xmlns="http://gemini/pivotcustomization/SandboxNonEmpty">
  <CustomContent><![CDATA[1]]></CustomContent>
</Gemini>
</file>

<file path=customXml/item21.xml><?xml version="1.0" encoding="utf-8"?>
<Gemini xmlns="http://gemini/pivotcustomization/TableWidget">
  <CustomContent><![CDATA[<ArrayOfDiagramManager.SerializableDiagram xmlns="http://schemas.datacontract.org/2004/07/Microsoft.AnalysisServices.Common" xmlns:i="http://www.w3.org/2001/XMLSchema-instance"><DiagramManager.SerializableDiagram><Adapter i:type="TableWidgetViewModelSandboxAdapter"><TableName>tbl_Projects</TableName></Adapter><DiagramType>TableWidgetViewModel</DiagramType><DisplayContext i:type="TableWidgetDisplayContext"><IsFilteredTagKey><Key>Static Tags\Has Filter</Key></IsFilteredTagKey><IsInTypeBooleanKey><Key>Static Tags\Is Boolean</Key></IsInTypeBooleanKey><IsInTypeNumberKey><Key>Static Tags\Is Number</Key></IsInTypeNumberKey><IsInTypeTextKey><Key>Static Tags\Is Text</Key></IsInTypeTextKey><IsInTypeTimeKey><Key>Static Tags\Is Time</Key></IsInTypeTimeKey><IsSortAscendingTagKey><Key>Static Tags\Is Sorted Ascending</Key></IsSortAscendingTagKey><IsSortDescendingTagKey><Key>Static Tags\Is Sorted Descending</Key></IsSortDescendingTagKey><IsSortableTagKey><Key>Static Tags\can be sorted</Key></IsSortableTagKey></DisplayContext><DisplayType>TableWidgetPanel</DisplayType><Key i:type="SandboxEditorTableWidgetViewModelKey"><TableName>tbl_Projects</TableName></Key><Maintainer i:type="TableWidgetViewModel.TableWidgetViewModelMaintainer"/><ViewStateFactoryType>Microsoft.AnalysisServices.Common.TableWidgetViewStateFactory</ViewStateFactoryType><ViewStates xmlns:a="http://schemas.microsoft.com/2003/10/Serialization/Arrays"><a:KeyValueOfDiagramObjectKeyanyTypezbwNTnLX><a:Key><Key>TableWidgetGrid Model</Key></a:Key><a:Value i:type="TableWidgetBaseViewState"/></a:KeyValueOfDiagramObjectKeyanyTypezbwNTnLX><a:KeyValueOfDiagramObjectKeyanyTypezbwNTnLX><a:Key><Key>Actions\Sort Ascending</Key></a:Key><a:Value i:type="TableWidgetBaseViewState"/></a:KeyValueOfDiagramObjectKeyanyTypezbwNTnLX><a:KeyValueOfDiagramObjectKeyanyTypezbwNTnLX><a:Key><Key>Actions\Sort Descending</Key></a:Key><a:Value i:type="TableWidgetBaseViewState"/></a:KeyValueOfDiagramObjectKeyanyTypezbwNTnLX><a:KeyValueOfDiagramObjectKeyanyTypezbwNTnLX><a:Key><Key>Actions\Clear Sort from this Column</Key></a:Key><a:Value i:type="TableWidgetBaseViewState"/></a:KeyValueOfDiagramObjectKeyanyTypezbwNTnLX><a:KeyValueOfDiagramObjectKeyanyTypezbwNTnLX><a:Key><Key>Actions\Clear Sort from this Table</Key></a:Key><a:Value i:type="TableWidgetBaseViewState"/></a:KeyValueOfDiagramObjectKeyanyTypezbwNTnLX><a:KeyValueOfDiagramObjectKeyanyTypezbwNTnLX><a:Key><Key>Actions\Load Top N Distinct Values</Key></a:Key><a:Value i:type="TableWidgetBaseViewState"/></a:KeyValueOfDiagramObjectKeyanyTypezbwNTnLX><a:KeyValueOfDiagramObjectKeyanyTypezbwNTnLX><a:Key><Key>TagGroups\Node Types</Key></a:Key><a:Value i:type="TableWidgetBaseViewState"/></a:KeyValueOfDiagramObjectKeyanyTypezbwNTnLX><a:KeyValueOfDiagramObjectKeyanyTypezbwNTnLX><a:Key><Key>TagGroups\Data Type</Key></a:Key><a:Value i:type="TableWidgetBaseViewState"/></a:KeyValueOfDiagramObjectKeyanyTypezbwNTnLX><a:KeyValueOfDiagramObjectKeyanyTypezbwNTnLX><a:Key><Key>TagGroups\State</Key></a:Key><a:Value i:type="TableWidgetBaseViewState"/></a:KeyValueOfDiagramObjectKeyanyTypezbwNTnLX><a:KeyValueOfDiagramObjectKeyanyTypezbwNTnLX><a:Key><Key>Static Tags\Column</Key></a:Key><a:Value i:type="TableWidgetBaseViewState"/></a:KeyValueOfDiagramObjectKeyanyTypezbwNTnLX><a:KeyValueOfDiagramObjectKeyanyTypezbwNTnLX><a:Key><Key>Static Tags\Is Boolean</Key></a:Key><a:Value i:type="TableWidgetBaseViewState"/></a:KeyValueOfDiagramObjectKeyanyTypezbwNTnLX><a:KeyValueOfDiagramObjectKeyanyTypezbwNTnLX><a:Key><Key>Static Tags\Is Number</Key></a:Key><a:Value i:type="TableWidgetBaseViewState"/></a:KeyValueOfDiagramObjectKeyanyTypezbwNTnLX><a:KeyValueOfDiagramObjectKeyanyTypezbwNTnLX><a:Key><Key>Static Tags\Is Text</Key></a:Key><a:Value i:type="TableWidgetBaseViewState"/></a:KeyValueOfDiagramObjectKeyanyTypezbwNTnLX><a:KeyValueOfDiagramObjectKeyanyTypezbwNTnLX><a:Key><Key>Static Tags\Is Time</Key></a:Key><a:Value i:type="TableWidgetBaseViewState"/></a:KeyValueOfDiagramObjectKeyanyTypezbwNTnLX><a:KeyValueOfDiagramObjectKeyanyTypezbwNTnLX><a:Key><Key>Static Tags\can be sorted</Key></a:Key><a:Value i:type="TableWidgetBaseViewState"/></a:KeyValueOfDiagramObjectKeyanyTypezbwNTnLX><a:KeyValueOfDiagramObjectKeyanyTypezbwNTnLX><a:Key><Key>Static Tags\Is Sorted Ascending</Key></a:Key><a:Value i:type="TableWidgetBaseViewState"/></a:KeyValueOfDiagramObjectKeyanyTypezbwNTnLX><a:KeyValueOfDiagramObjectKeyanyTypezbwNTnLX><a:Key><Key>Static Tags\Is Sorted Descending</Key></a:Key><a:Value i:type="TableWidgetBaseViewState"/></a:KeyValueOfDiagramObjectKeyanyTypezbwNTnLX><a:KeyValueOfDiagramObjectKeyanyTypezbwNTnLX><a:Key><Key>Static Tags\Has Filter</Key></a:Key><a:Value i:type="TableWidgetBaseViewState"/></a:KeyValueOfDiagramObjectKeyanyTypezbwNTnLX><a:KeyValueOfDiagramObjectKeyanyTypezbwNTnLX><a:Key><Key>Static Tags\  </Key></a:Key><a:Value i:type="TableWidgetBaseViewState"/></a:KeyValueOfDiagramObjectKeyanyTypezbwNTnLX><a:KeyValueOfDiagramObjectKeyanyTypezbwNTnLX><a:Key><Key>Static Tags\Is Private</Key></a:Key><a:Value i:type="TableWidgetBaseViewState"/></a:KeyValueOfDiagramObjectKeyanyTypezbwNTnLX><a:KeyValueOfDiagramObjectKeyanyTypezbwNTnLX><a:Key><Key>Columns\Project_ID</Key></a:Key><a:Value i:type="TableWidgetBaseViewState"/></a:KeyValueOfDiagramObjectKeyanyTypezbwNTnLX><a:KeyValueOfDiagramObjectKeyanyTypezbwNTnLX><a:Key><Key>Columns\Project_Name</Key></a:Key><a:Value i:type="TableWidgetBaseViewState"/></a:KeyValueOfDiagramObjectKeyanyTypezbwNTnLX><a:KeyValueOfDiagramObjectKeyanyTypezbwNTnLX><a:Key><Key>Columns\Client</Key></a:Key><a:Value i:type="TableWidgetBaseViewState"/></a:KeyValueOfDiagramObjectKeyanyTypezbwNTnLX><a:KeyValueOfDiagramObjectKeyanyTypezbwNTnLX><a:Key><Key>Columns\Project_Manager</Key></a:Key><a:Value i:type="TableWidgetBaseViewState"/></a:KeyValueOfDiagramObjectKeyanyTypezbwNTnLX><a:KeyValueOfDiagramObjectKeyanyTypezbwNTnLX><a:Key><Key>Columns\Start_Date</Key></a:Key><a:Value i:type="TableWidgetBaseViewState"/></a:KeyValueOfDiagramObjectKeyanyTypezbwNTnLX><a:KeyValueOfDiagramObjectKeyanyTypezbwNTnLX><a:Key><Key>Columns\Budget</Key></a:Key><a:Value i:type="TableWidgetBaseViewState"/></a:KeyValueOfDiagramObjectKeyanyTypezbwNTnLX><a:KeyValueOfDiagramObjectKeyanyTypezbwNTnLX><a:Key><Key>Columns\  </Key></a:Key><a:Value i:type="TableWidgetBaseViewState"/></a:KeyValueOfDiagramObjectKeyanyTypezbwNTnLX></ViewStates></DiagramManager.SerializableDiagram><DiagramManager.SerializableDiagram><Adapter i:type="TableWidgetViewModelSandboxAdapter"><TableName>tbl_Employees</TableName></Adapter><DiagramType>TableWidgetViewModel</DiagramType><DisplayContext i:type="TableWidgetDisplayContext"><IsFilteredTagKey><Key>Static Tags\Has Filter</Key></IsFilteredTagKey><IsInTypeBooleanKey><Key>Static Tags\Is Boolean</Key></IsInTypeBooleanKey><IsInTypeNumberKey><Key>Static Tags\Is Number</Key></IsInTypeNumberKey><IsInTypeTextKey><Key>Static Tags\Is Text</Key></IsInTypeTextKey><IsInTypeTimeKey><Key>Static Tags\Is Time</Key></IsInTypeTimeKey><IsSortAscendingTagKey><Key>Static Tags\Is Sorted Ascending</Key></IsSortAscendingTagKey><IsSortDescendingTagKey><Key>Static Tags\Is Sorted Descending</Key></IsSortDescendingTagKey><IsSortableTagKey><Key>Static Tags\can be sorted</Key></IsSortableTagKey></DisplayContext><DisplayType>TableWidgetPanel</DisplayType><Key i:type="SandboxEditorTableWidgetViewModelKey"><TableName>tbl_Employees</TableName></Key><Maintainer i:type="TableWidgetViewModel.TableWidgetViewModelMaintainer"/><ViewStateFactoryType>Microsoft.AnalysisServices.Common.TableWidgetViewStateFactory</ViewStateFactoryType><ViewStates xmlns:a="http://schemas.microsoft.com/2003/10/Serialization/Arrays"><a:KeyValueOfDiagramObjectKeyanyTypezbwNTnLX><a:Key><Key>TableWidgetGrid Model</Key></a:Key><a:Value i:type="TableWidgetBaseViewState"/></a:KeyValueOfDiagramObjectKeyanyTypezbwNTnLX><a:KeyValueOfDiagramObjectKeyanyTypezbwNTnLX><a:Key><Key>Actions\Sort Ascending</Key></a:Key><a:Value i:type="TableWidgetBaseViewState"/></a:KeyValueOfDiagramObjectKeyanyTypezbwNTnLX><a:KeyValueOfDiagramObjectKeyanyTypezbwNTnLX><a:Key><Key>Actions\Sort Descending</Key></a:Key><a:Value i:type="TableWidgetBaseViewState"/></a:KeyValueOfDiagramObjectKeyanyTypezbwNTnLX><a:KeyValueOfDiagramObjectKeyanyTypezbwNTnLX><a:Key><Key>Actions\Clear Sort from this Column</Key></a:Key><a:Value i:type="TableWidgetBaseViewState"/></a:KeyValueOfDiagramObjectKeyanyTypezbwNTnLX><a:KeyValueOfDiagramObjectKeyanyTypezbwNTnLX><a:Key><Key>Actions\Clear Sort from this Table</Key></a:Key><a:Value i:type="TableWidgetBaseViewState"/></a:KeyValueOfDiagramObjectKeyanyTypezbwNTnLX><a:KeyValueOfDiagramObjectKeyanyTypezbwNTnLX><a:Key><Key>Actions\Load Top N Distinct Values</Key></a:Key><a:Value i:type="TableWidgetBaseViewState"/></a:KeyValueOfDiagramObjectKeyanyTypezbwNTnLX><a:KeyValueOfDiagramObjectKeyanyTypezbwNTnLX><a:Key><Key>TagGroups\Node Types</Key></a:Key><a:Value i:type="TableWidgetBaseViewState"/></a:KeyValueOfDiagramObjectKeyanyTypezbwNTnLX><a:KeyValueOfDiagramObjectKeyanyTypezbwNTnLX><a:Key><Key>TagGroups\Data Type</Key></a:Key><a:Value i:type="TableWidgetBaseViewState"/></a:KeyValueOfDiagramObjectKeyanyTypezbwNTnLX><a:KeyValueOfDiagramObjectKeyanyTypezbwNTnLX><a:Key><Key>TagGroups\State</Key></a:Key><a:Value i:type="TableWidgetBaseViewState"/></a:KeyValueOfDiagramObjectKeyanyTypezbwNTnLX><a:KeyValueOfDiagramObjectKeyanyTypezbwNTnLX><a:Key><Key>Static Tags\Column</Key></a:Key><a:Value i:type="TableWidgetBaseViewState"/></a:KeyValueOfDiagramObjectKeyanyTypezbwNTnLX><a:KeyValueOfDiagramObjectKeyanyTypezbwNTnLX><a:Key><Key>Static Tags\Is Boolean</Key></a:Key><a:Value i:type="TableWidgetBaseViewState"/></a:KeyValueOfDiagramObjectKeyanyTypezbwNTnLX><a:KeyValueOfDiagramObjectKeyanyTypezbwNTnLX><a:Key><Key>Static Tags\Is Number</Key></a:Key><a:Value i:type="TableWidgetBaseViewState"/></a:KeyValueOfDiagramObjectKeyanyTypezbwNTnLX><a:KeyValueOfDiagramObjectKeyanyTypezbwNTnLX><a:Key><Key>Static Tags\Is Text</Key></a:Key><a:Value i:type="TableWidgetBaseViewState"/></a:KeyValueOfDiagramObjectKeyanyTypezbwNTnLX><a:KeyValueOfDiagramObjectKeyanyTypezbwNTnLX><a:Key><Key>Static Tags\Is Time</Key></a:Key><a:Value i:type="TableWidgetBaseViewState"/></a:KeyValueOfDiagramObjectKeyanyTypezbwNTnLX><a:KeyValueOfDiagramObjectKeyanyTypezbwNTnLX><a:Key><Key>Static Tags\can be sorted</Key></a:Key><a:Value i:type="TableWidgetBaseViewState"/></a:KeyValueOfDiagramObjectKeyanyTypezbwNTnLX><a:KeyValueOfDiagramObjectKeyanyTypezbwNTnLX><a:Key><Key>Static Tags\Is Sorted Ascending</Key></a:Key><a:Value i:type="TableWidgetBaseViewState"/></a:KeyValueOfDiagramObjectKeyanyTypezbwNTnLX><a:KeyValueOfDiagramObjectKeyanyTypezbwNTnLX><a:Key><Key>Static Tags\Is Sorted Descending</Key></a:Key><a:Value i:type="TableWidgetBaseViewState"/></a:KeyValueOfDiagramObjectKeyanyTypezbwNTnLX><a:KeyValueOfDiagramObjectKeyanyTypezbwNTnLX><a:Key><Key>Static Tags\Has Filter</Key></a:Key><a:Value i:type="TableWidgetBaseViewState"/></a:KeyValueOfDiagramObjectKeyanyTypezbwNTnLX><a:KeyValueOfDiagramObjectKeyanyTypezbwNTnLX><a:Key><Key>Static Tags\  </Key></a:Key><a:Value i:type="TableWidgetBaseViewState"/></a:KeyValueOfDiagramObjectKeyanyTypezbwNTnLX><a:KeyValueOfDiagramObjectKeyanyTypezbwNTnLX><a:Key><Key>Static Tags\Is Private</Key></a:Key><a:Value i:type="TableWidgetBaseViewState"/></a:KeyValueOfDiagramObjectKeyanyTypezbwNTnLX><a:KeyValueOfDiagramObjectKeyanyTypezbwNTnLX><a:Key><Key>Columns\Employee_ID</Key></a:Key><a:Value i:type="TableWidgetBaseViewState"/></a:KeyValueOfDiagramObjectKeyanyTypezbwNTnLX><a:KeyValueOfDiagramObjectKeyanyTypezbwNTnLX><a:Key><Key>Columns\Employee_Name</Key></a:Key><a:Value i:type="TableWidgetBaseViewState"/></a:KeyValueOfDiagramObjectKeyanyTypezbwNTnLX><a:KeyValueOfDiagramObjectKeyanyTypezbwNTnLX><a:Key><Key>Columns\Department</Key></a:Key><a:Value i:type="TableWidgetBaseViewState"/></a:KeyValueOfDiagramObjectKeyanyTypezbwNTnLX><a:KeyValueOfDiagramObjectKeyanyTypezbwNTnLX><a:Key><Key>Columns\Role</Key></a:Key><a:Value i:type="TableWidgetBaseViewState"/></a:KeyValueOfDiagramObjectKeyanyTypezbwNTnLX><a:KeyValueOfDiagramObjectKeyanyTypezbwNTnLX><a:Key><Key>Columns\Hourly_Rate</Key></a:Key><a:Value i:type="TableWidgetBaseViewState"/></a:KeyValueOfDiagramObjectKeyanyTypezbwNTnLX><a:KeyValueOfDiagramObjectKeyanyTypezbwNTnLX><a:Key><Key>Columns\  </Key></a:Key><a:Value i:type="TableWidgetBaseViewState"/></a:KeyValueOfDiagramObjectKeyanyTypezbwNTnLX></ViewStates></DiagramManager.SerializableDiagram><DiagramManager.SerializableDiagram><Adapter i:type="TableWidgetViewModelSandboxAdapter"><TableName>tbl_Tasks_Clean</TableName></Adapter><DiagramType>TableWidgetViewModel</DiagramType><DisplayContext i:type="TableWidgetDisplayContext"><IsFilteredTagKey><Key>Static Tags\Has Filter</Key></IsFilteredTagKey><IsInTypeBooleanKey><Key>Static Tags\Is Boolean</Key></IsInTypeBooleanKey><IsInTypeNumberKey><Key>Static Tags\Is Number</Key></IsInTypeNumberKey><IsInTypeTextKey><Key>Static Tags\Is Text</Key></IsInTypeTextKey><IsInTypeTimeKey><Key>Static Tags\Is Time</Key></IsInTypeTimeKey><IsSortAscendingTagKey><Key>Static Tags\Is Sorted Ascending</Key></IsSortAscendingTagKey><IsSortDescendingTagKey><Key>Static Tags\Is Sorted Descending</Key></IsSortDescendingTagKey><IsSortableTagKey><Key>Static Tags\can be sorted</Key></IsSortableTagKey></DisplayContext><DisplayType>TableWidgetPanel</DisplayType><Key i:type="SandboxEditorTableWidgetViewModelKey"><TableName>tbl_Tasks_Clean</TableName></Key><Maintainer i:type="TableWidgetViewModel.TableWidgetViewModelMaintainer"/><ViewStateFactoryType>Microsoft.AnalysisServices.Common.TableWidgetViewStateFactory</ViewStateFactoryType><ViewStates xmlns:a="http://schemas.microsoft.com/2003/10/Serialization/Arrays"><a:KeyValueOfDiagramObjectKeyanyTypezbwNTnLX><a:Key><Key>TableWidgetGrid Model</Key></a:Key><a:Value i:type="TableWidgetBaseViewState"/></a:KeyValueOfDiagramObjectKeyanyTypezbwNTnLX><a:KeyValueOfDiagramObjectKeyanyTypezbwNTnLX><a:Key><Key>Actions\Sort Ascending</Key></a:Key><a:Value i:type="TableWidgetBaseViewState"/></a:KeyValueOfDiagramObjectKeyanyTypezbwNTnLX><a:KeyValueOfDiagramObjectKeyanyTypezbwNTnLX><a:Key><Key>Actions\Sort Descending</Key></a:Key><a:Value i:type="TableWidgetBaseViewState"/></a:KeyValueOfDiagramObjectKeyanyTypezbwNTnLX><a:KeyValueOfDiagramObjectKeyanyTypezbwNTnLX><a:Key><Key>Actions\Clear Sort from this Column</Key></a:Key><a:Value i:type="TableWidgetBaseViewState"/></a:KeyValueOfDiagramObjectKeyanyTypezbwNTnLX><a:KeyValueOfDiagramObjectKeyanyTypezbwNTnLX><a:Key><Key>Actions\Clear Sort from this Table</Key></a:Key><a:Value i:type="TableWidgetBaseViewState"/></a:KeyValueOfDiagramObjectKeyanyTypezbwNTnLX><a:KeyValueOfDiagramObjectKeyanyTypezbwNTnLX><a:Key><Key>Actions\Load Top N Distinct Values</Key></a:Key><a:Value i:type="TableWidgetBaseViewState"/></a:KeyValueOfDiagramObjectKeyanyTypezbwNTnLX><a:KeyValueOfDiagramObjectKeyanyTypezbwNTnLX><a:Key><Key>TagGroups\Node Types</Key></a:Key><a:Value i:type="TableWidgetBaseViewState"/></a:KeyValueOfDiagramObjectKeyanyTypezbwNTnLX><a:KeyValueOfDiagramObjectKeyanyTypezbwNTnLX><a:Key><Key>TagGroups\Data Type</Key></a:Key><a:Value i:type="TableWidgetBaseViewState"/></a:KeyValueOfDiagramObjectKeyanyTypezbwNTnLX><a:KeyValueOfDiagramObjectKeyanyTypezbwNTnLX><a:Key><Key>TagGroups\State</Key></a:Key><a:Value i:type="TableWidgetBaseViewState"/></a:KeyValueOfDiagramObjectKeyanyTypezbwNTnLX><a:KeyValueOfDiagramObjectKeyanyTypezbwNTnLX><a:Key><Key>Static Tags\Column</Key></a:Key><a:Value i:type="TableWidgetBaseViewState"/></a:KeyValueOfDiagramObjectKeyanyTypezbwNTnLX><a:KeyValueOfDiagramObjectKeyanyTypezbwNTnLX><a:Key><Key>Static Tags\Is Boolean</Key></a:Key><a:Value i:type="TableWidgetBaseViewState"/></a:KeyValueOfDiagramObjectKeyanyTypezbwNTnLX><a:KeyValueOfDiagramObjectKeyanyTypezbwNTnLX><a:Key><Key>Static Tags\Is Number</Key></a:Key><a:Value i:type="TableWidgetBaseViewState"/></a:KeyValueOfDiagramObjectKeyanyTypezbwNTnLX><a:KeyValueOfDiagramObjectKeyanyTypezbwNTnLX><a:Key><Key>Static Tags\Is Text</Key></a:Key><a:Value i:type="TableWidgetBaseViewState"/></a:KeyValueOfDiagramObjectKeyanyTypezbwNTnLX><a:KeyValueOfDiagramObjectKeyanyTypezbwNTnLX><a:Key><Key>Static Tags\Is Time</Key></a:Key><a:Value i:type="TableWidgetBaseViewState"/></a:KeyValueOfDiagramObjectKeyanyTypezbwNTnLX><a:KeyValueOfDiagramObjectKeyanyTypezbwNTnLX><a:Key><Key>Static Tags\can be sorted</Key></a:Key><a:Value i:type="TableWidgetBaseViewState"/></a:KeyValueOfDiagramObjectKeyanyTypezbwNTnLX><a:KeyValueOfDiagramObjectKeyanyTypezbwNTnLX><a:Key><Key>Static Tags\Is Sorted Ascending</Key></a:Key><a:Value i:type="TableWidgetBaseViewState"/></a:KeyValueOfDiagramObjectKeyanyTypezbwNTnLX><a:KeyValueOfDiagramObjectKeyanyTypezbwNTnLX><a:Key><Key>Static Tags\Is Sorted Descending</Key></a:Key><a:Value i:type="TableWidgetBaseViewState"/></a:KeyValueOfDiagramObjectKeyanyTypezbwNTnLX><a:KeyValueOfDiagramObjectKeyanyTypezbwNTnLX><a:Key><Key>Static Tags\Has Filter</Key></a:Key><a:Value i:type="TableWidgetBaseViewState"/></a:KeyValueOfDiagramObjectKeyanyTypezbwNTnLX><a:KeyValueOfDiagramObjectKeyanyTypezbwNTnLX><a:Key><Key>Static Tags\  </Key></a:Key><a:Value i:type="TableWidgetBaseViewState"/></a:KeyValueOfDiagramObjectKeyanyTypezbwNTnLX><a:KeyValueOfDiagramObjectKeyanyTypezbwNTnLX><a:Key><Key>Static Tags\Is Private</Key></a:Key><a:Value i:type="TableWidgetBaseViewState"/></a:KeyValueOfDiagramObjectKeyanyTypezbwNTnLX><a:KeyValueOfDiagramObjectKeyanyTypezbwNTnLX><a:Key><Key>Columns\Task_ID</Key></a:Key><a:Value i:type="TableWidgetBaseViewState"/></a:KeyValueOfDiagramObjectKeyanyTypezbwNTnLX><a:KeyValueOfDiagramObjectKeyanyTypezbwNTnLX><a:Key><Key>Columns\Project_ID</Key></a:Key><a:Value i:type="TableWidgetBaseViewState"/></a:KeyValueOfDiagramObjectKeyanyTypezbwNTnLX><a:KeyValueOfDiagramObjectKeyanyTypezbwNTnLX><a:Key><Key>Columns\Project_Name</Key></a:Key><a:Value i:type="TableWidgetBaseViewState"/></a:KeyValueOfDiagramObjectKeyanyTypezbwNTnLX><a:KeyValueOfDiagramObjectKeyanyTypezbwNTnLX><a:Key><Key>Columns\Task_Name</Key></a:Key><a:Value i:type="TableWidgetBaseViewState"/></a:KeyValueOfDiagramObjectKeyanyTypezbwNTnLX><a:KeyValueOfDiagramObjectKeyanyTypezbwNTnLX><a:Key><Key>Columns\Department</Key></a:Key><a:Value i:type="TableWidgetBaseViewState"/></a:KeyValueOfDiagramObjectKeyanyTypezbwNTnLX><a:KeyValueOfDiagramObjectKeyanyTypezbwNTnLX><a:Key><Key>Columns\Assigned_To</Key></a:Key><a:Value i:type="TableWidgetBaseViewState"/></a:KeyValueOfDiagramObjectKeyanyTypezbwNTnLX><a:KeyValueOfDiagramObjectKeyanyTypezbwNTnLX><a:Key><Key>Columns\Priority</Key></a:Key><a:Value i:type="TableWidgetBaseViewState"/></a:KeyValueOfDiagramObjectKeyanyTypezbwNTnLX><a:KeyValueOfDiagramObjectKeyanyTypezbwNTnLX><a:Key><Key>Columns\Status</Key></a:Key><a:Value i:type="TableWidgetBaseViewState"/></a:KeyValueOfDiagramObjectKeyanyTypezbwNTnLX><a:KeyValueOfDiagramObjectKeyanyTypezbwNTnLX><a:Key><Key>Columns\Start_Date</Key></a:Key><a:Value i:type="TableWidgetBaseViewState"/></a:KeyValueOfDiagramObjectKeyanyTypezbwNTnLX><a:KeyValueOfDiagramObjectKeyanyTypezbwNTnLX><a:Key><Key>Columns\Planned_End_Date</Key></a:Key><a:Value i:type="TableWidgetBaseViewState"/></a:KeyValueOfDiagramObjectKeyanyTypezbwNTnLX><a:KeyValueOfDiagramObjectKeyanyTypezbwNTnLX><a:Key><Key>Columns\Actual_End_Date</Key></a:Key><a:Value i:type="TableWidgetBaseViewState"/></a:KeyValueOfDiagramObjectKeyanyTypezbwNTnLX><a:KeyValueOfDiagramObjectKeyanyTypezbwNTnLX><a:Key><Key>Columns\Planned_Cost</Key></a:Key><a:Value i:type="TableWidgetBaseViewState"/></a:KeyValueOfDiagramObjectKeyanyTypezbwNTnLX><a:KeyValueOfDiagramObjectKeyanyTypezbwNTnLX><a:Key><Key>Columns\Actual_Cost</Key></a:Key><a:Value i:type="TableWidgetBaseViewState"/></a:KeyValueOfDiagramObjectKeyanyTypezbwNTnLX><a:KeyValueOfDiagramObjectKeyanyTypezbwNTnLX><a:Key><Key>Columns\Planned_Duration_Days</Key></a:Key><a:Value i:type="TableWidgetBaseViewState"/></a:KeyValueOfDiagramObjectKeyanyTypezbwNTnLX><a:KeyValueOfDiagramObjectKeyanyTypezbwNTnLX><a:Key><Key>Columns\Delay_Days</Key></a:Key><a:Value i:type="TableWidgetBaseViewState"/></a:KeyValueOfDiagramObjectKeyanyTypezbwNTnLX><a:KeyValueOfDiagramObjectKeyanyTypezbwNTnLX><a:Key><Key>Columns\Client</Key></a:Key><a:Value i:type="TableWidgetBaseViewState"/></a:KeyValueOfDiagramObjectKeyanyTypezbwNTnLX><a:KeyValueOfDiagramObjectKeyanyTypezbwNTnLX><a:Key><Key>Columns\Project_Manager</Key></a:Key><a:Value i:type="TableWidgetBaseViewState"/></a:KeyValueOfDiagramObjectKeyanyTypezbwNTnLX><a:KeyValueOfDiagramObjectKeyanyTypezbwNTnLX><a:Key><Key>Columns\Start_Date.1</Key></a:Key><a:Value i:type="TableWidgetBaseViewState"/></a:KeyValueOfDiagramObjectKeyanyTypezbwNTnLX><a:KeyValueOfDiagramObjectKeyanyTypezbwNTnLX><a:Key><Key>Columns\Budget</Key></a:Key><a:Value i:type="TableWidgetBaseViewState"/></a:KeyValueOfDiagramObjectKeyanyTypezbwNTnLX><a:KeyValueOfDiagramObjectKeyanyTypezbwNTnLX><a:Key><Key>Columns\Employee_ID</Key></a:Key><a:Value i:type="TableWidgetBaseViewState"/></a:KeyValueOfDiagramObjectKeyanyTypezbwNTnLX><a:KeyValueOfDiagramObjectKeyanyTypezbwNTnLX><a:Key><Key>Columns\Role</Key></a:Key><a:Value i:type="TableWidgetBaseViewState"/></a:KeyValueOfDiagramObjectKeyanyTypezbwNTnLX><a:KeyValueOfDiagramObjectKeyanyTypezbwNTnLX><a:Key><Key>Columns\Hourly_Rate</Key></a:Key><a:Value i:type="TableWidgetBaseViewState"/></a:KeyValueOfDiagramObjectKeyanyTypezbwNTnLX><a:KeyValueOfDiagramObjectKeyanyTypezbwNTnLX><a:Key><Key>Columns\Cost_Variance</Key></a:Key><a:Value i:type="TableWidgetBaseViewState"/></a:KeyValueOfDiagramObjectKeyanyTypezbwNTnLX><a:KeyValueOfDiagramObjectKeyanyTypezbwNTnLX><a:Key><Key>Columns\Cost_Variance_%</Key></a:Key><a:Value i:type="TableWidgetBaseViewState"/></a:KeyValueOfDiagramObjectKeyanyTypezbwNTnLX><a:KeyValueOfDiagramObjectKeyanyTypezbwNTnLX><a:Key><Key>Columns\On_Time_Flag</Key></a:Key><a:Value i:type="TableWidgetBaseViewState"/></a:KeyValueOfDiagramObjectKeyanyTypezbwNTnLX><a:KeyValueOfDiagramObjectKeyanyTypezbwNTnLX><a:Key><Key>Columns\Task_Age_Category</Key></a:Key><a:Value i:type="TableWidgetBaseViewState"/></a:KeyValueOfDiagramObjectKeyanyTypezbwNTnLX><a:KeyValueOfDiagramObjectKeyanyTypezbwNTnLX><a:Key><Key>Columns\Manager_Lookup</Key></a:Key><a:Value i:type="TableWidgetBaseViewState"/></a:KeyValueOfDiagramObjectKeyanyTypezbwNTnLX><a:KeyValueOfDiagramObjectKeyanyTypezbwNTnLX><a:Key><Key>Columns\  </Key></a:Key><a:Value i:type="TableWidgetBaseViewState"/></a:KeyValueOfDiagramObjectKeyanyTypezbwNTnLX></ViewStates></DiagramManager.SerializableDiagram></ArrayOfDiagramManager.SerializableDiagram>]]></CustomContent>
</Gemini>
</file>

<file path=customXml/item22.xml><?xml version="1.0" encoding="utf-8"?>
<Gemini xmlns="http://gemini/pivotcustomization/ManualCalcMode">
  <CustomContent><![CDATA[False]]></CustomContent>
</Gemini>
</file>

<file path=customXml/item23.xml><?xml version="1.0" encoding="utf-8"?>
<Gemini xmlns="http://gemini/pivotcustomization/RelationshipAutoDetectionEnabled">
  <CustomContent><![CDATA[True]]></CustomContent>
</Gemini>
</file>

<file path=customXml/itemProps1.xml><?xml version="1.0" encoding="utf-8"?>
<ds:datastoreItem xmlns:ds="http://schemas.openxmlformats.org/officeDocument/2006/customXml" ds:itemID="{69A01A2B-A92F-43BF-A0D5-D73BEBE56A08}">
  <ds:schemaRefs/>
</ds:datastoreItem>
</file>

<file path=customXml/itemProps2.xml><?xml version="1.0" encoding="utf-8"?>
<ds:datastoreItem xmlns:ds="http://schemas.openxmlformats.org/officeDocument/2006/customXml" ds:itemID="{79E9D946-81E0-4DAB-80F3-7468F79EE213}">
  <ds:schemaRefs/>
</ds:datastoreItem>
</file>

<file path=customXml/itemProps3.xml><?xml version="1.0" encoding="utf-8"?>
<ds:datastoreItem xmlns:ds="http://schemas.openxmlformats.org/officeDocument/2006/customXml" ds:itemID="{6CC76C1F-764F-41AF-AAC3-29FF11F89F28}">
  <ds:schemaRefs/>
</ds:datastoreItem>
</file>

<file path=customXml/itemProps4.xml><?xml version="1.0" encoding="utf-8"?>
<ds:datastoreItem xmlns:ds="http://schemas.openxmlformats.org/officeDocument/2006/customXml" ds:itemID="{5A29430A-671C-497F-9C0A-A93D5B60B77F}">
  <ds:schemaRefs/>
</ds:datastoreItem>
</file>

<file path=customXml/itemProps5.xml><?xml version="1.0" encoding="utf-8"?>
<ds:datastoreItem xmlns:ds="http://schemas.openxmlformats.org/officeDocument/2006/customXml" ds:itemID="{CBB30254-AF4B-4E67-8386-31CAB9353322}">
  <ds:schemaRefs/>
</ds:datastoreItem>
</file>

<file path=customXml/itemProps6.xml><?xml version="1.0" encoding="utf-8"?>
<ds:datastoreItem xmlns:ds="http://schemas.openxmlformats.org/officeDocument/2006/customXml" ds:itemID="{8340A240-1789-49F2-8037-EAD40DBE59CE}">
  <ds:schemaRefs/>
</ds:datastoreItem>
</file>

<file path=customXml/itemProps7.xml><?xml version="1.0" encoding="utf-8"?>
<ds:datastoreItem xmlns:ds="http://schemas.openxmlformats.org/officeDocument/2006/customXml" ds:itemID="{64405434-26EF-4B6C-B107-1B05CA35A46F}">
  <ds:schemaRefs/>
</ds:datastoreItem>
</file>

<file path=customXml/itemProps8.xml><?xml version="1.0" encoding="utf-8"?>
<ds:datastoreItem xmlns:ds="http://schemas.openxmlformats.org/officeDocument/2006/customXml" ds:itemID="{DBA1C84C-46E5-43F5-8A25-FC4A4CB28EC6}">
  <ds:schemaRefs/>
</ds:datastoreItem>
</file>

<file path=customXml/itemProps9.xml><?xml version="1.0" encoding="utf-8"?>
<ds:datastoreItem xmlns:ds="http://schemas.openxmlformats.org/officeDocument/2006/customXml" ds:itemID="{48973589-BC07-46F9-A8AD-4F8D3E7BBED9}">
  <ds:schemaRefs/>
</ds:datastoreItem>
</file>

<file path=customXml/itemProps10.xml><?xml version="1.0" encoding="utf-8"?>
<ds:datastoreItem xmlns:ds="http://schemas.openxmlformats.org/officeDocument/2006/customXml" ds:itemID="{AEF55265-6B62-4A4A-9F0E-0B8AADC09F5C}">
  <ds:schemaRefs/>
</ds:datastoreItem>
</file>

<file path=customXml/itemProps11.xml><?xml version="1.0" encoding="utf-8"?>
<ds:datastoreItem xmlns:ds="http://schemas.openxmlformats.org/officeDocument/2006/customXml" ds:itemID="{49357639-BC82-4CBD-89B0-37B59D741261}">
  <ds:schemaRefs/>
</ds:datastoreItem>
</file>

<file path=customXml/itemProps12.xml><?xml version="1.0" encoding="utf-8"?>
<ds:datastoreItem xmlns:ds="http://schemas.openxmlformats.org/officeDocument/2006/customXml" ds:itemID="{D7A20F59-8533-40CD-95BB-E8781AAC6B96}">
  <ds:schemaRefs/>
</ds:datastoreItem>
</file>

<file path=customXml/itemProps13.xml><?xml version="1.0" encoding="utf-8"?>
<ds:datastoreItem xmlns:ds="http://schemas.openxmlformats.org/officeDocument/2006/customXml" ds:itemID="{8B9D507F-0658-4AD9-B524-53B820BA8584}">
  <ds:schemaRefs/>
</ds:datastoreItem>
</file>

<file path=customXml/itemProps14.xml><?xml version="1.0" encoding="utf-8"?>
<ds:datastoreItem xmlns:ds="http://schemas.openxmlformats.org/officeDocument/2006/customXml" ds:itemID="{088440FA-D072-40B0-B170-93A89B6C7308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FC60EA43-5311-4E9D-BEAB-BCEB4B59F7FC}">
  <ds:schemaRefs/>
</ds:datastoreItem>
</file>

<file path=customXml/itemProps16.xml><?xml version="1.0" encoding="utf-8"?>
<ds:datastoreItem xmlns:ds="http://schemas.openxmlformats.org/officeDocument/2006/customXml" ds:itemID="{CBBCB9A3-BD84-448D-937C-9548DF55A217}">
  <ds:schemaRefs/>
</ds:datastoreItem>
</file>

<file path=customXml/itemProps17.xml><?xml version="1.0" encoding="utf-8"?>
<ds:datastoreItem xmlns:ds="http://schemas.openxmlformats.org/officeDocument/2006/customXml" ds:itemID="{6811E2AE-DD7D-4E7F-8EDE-EA2B51E4815B}">
  <ds:schemaRefs/>
</ds:datastoreItem>
</file>

<file path=customXml/itemProps18.xml><?xml version="1.0" encoding="utf-8"?>
<ds:datastoreItem xmlns:ds="http://schemas.openxmlformats.org/officeDocument/2006/customXml" ds:itemID="{4120F521-405D-4D40-85F9-CA68170EF57A}">
  <ds:schemaRefs/>
</ds:datastoreItem>
</file>

<file path=customXml/itemProps19.xml><?xml version="1.0" encoding="utf-8"?>
<ds:datastoreItem xmlns:ds="http://schemas.openxmlformats.org/officeDocument/2006/customXml" ds:itemID="{D433A782-6FB9-4F7B-B5DD-587275051811}">
  <ds:schemaRefs/>
</ds:datastoreItem>
</file>

<file path=customXml/itemProps20.xml><?xml version="1.0" encoding="utf-8"?>
<ds:datastoreItem xmlns:ds="http://schemas.openxmlformats.org/officeDocument/2006/customXml" ds:itemID="{DF92C14A-D33B-401D-91D7-5E836CDF0349}">
  <ds:schemaRefs/>
</ds:datastoreItem>
</file>

<file path=customXml/itemProps21.xml><?xml version="1.0" encoding="utf-8"?>
<ds:datastoreItem xmlns:ds="http://schemas.openxmlformats.org/officeDocument/2006/customXml" ds:itemID="{E067ADA4-1A63-40A7-9C68-52BF8E8D9896}">
  <ds:schemaRefs/>
</ds:datastoreItem>
</file>

<file path=customXml/itemProps22.xml><?xml version="1.0" encoding="utf-8"?>
<ds:datastoreItem xmlns:ds="http://schemas.openxmlformats.org/officeDocument/2006/customXml" ds:itemID="{A7DBF07C-0E16-477F-B33F-FB94EBBCBECC}">
  <ds:schemaRefs/>
</ds:datastoreItem>
</file>

<file path=customXml/itemProps23.xml><?xml version="1.0" encoding="utf-8"?>
<ds:datastoreItem xmlns:ds="http://schemas.openxmlformats.org/officeDocument/2006/customXml" ds:itemID="{AB186141-56BB-4089-ADBE-8837FB7EFD9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2026-07-16T17:04:20Z</dcterms:created>
  <dc:creator>openpyxl</dc:creator>
  <dc:description/>
  <dc:language>en-US</dc:language>
  <cp:lastModifiedBy/>
  <dcterms:modified xsi:type="dcterms:W3CDTF">2026-07-21T22:23:20Z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